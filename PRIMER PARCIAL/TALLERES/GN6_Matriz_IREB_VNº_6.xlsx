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Ckeck LIst" sheetId="1" r:id="rId5"/>
    <sheet state="visible" name="MODELO LISTA DE COMPROBACION - " sheetId="2" r:id="rId6"/>
    <sheet state="visible" name="RECOMENDACIONES - CU001.3"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
      <text>
        <t xml:space="preserve">jeny ruiz:
jeny ruiz:
Posterior a la actualización, se guardaran automáticamente el nombre de usuario, fecha, hora, registro antiguo, registro nuevo.</t>
      </text>
    </comment>
  </commentList>
</comments>
</file>

<file path=xl/sharedStrings.xml><?xml version="1.0" encoding="utf-8"?>
<sst xmlns="http://schemas.openxmlformats.org/spreadsheetml/2006/main" count="313" uniqueCount="124">
  <si>
    <t>MATRIZ PARA COMPROBACIÓN REQUERIMIENTOS DE CALIDAD DE PROYECTO ACADEMICO</t>
  </si>
  <si>
    <t>SISTEMA:</t>
  </si>
  <si>
    <t>SISTEMA WEB DE GESTION DE EXPENSAS DEL CONJUNTO LA PRIMAVERA</t>
  </si>
  <si>
    <t>Nº</t>
  </si>
  <si>
    <t>CRITERIOS DE CALIDAD (Documento/Requerimientos)</t>
  </si>
  <si>
    <t>Status
Nivel de Acuerdo</t>
  </si>
  <si>
    <t xml:space="preserve">
CU-01: Administrar Sistema</t>
  </si>
  <si>
    <t>CU-1.1: Iniciar Sesión</t>
  </si>
  <si>
    <t>CU-1.2: Recuperar Contraseña</t>
  </si>
  <si>
    <t>Agreed</t>
  </si>
  <si>
    <t>OK</t>
  </si>
  <si>
    <t>Es fundamental para el control de seguridad solicitado por el Administrador.</t>
  </si>
  <si>
    <t>Validado por el equipo de ingeniería de requisitos (Obando, Leiton, Gualotuña).</t>
  </si>
  <si>
    <t>Reduce la carga administrativa de resetear claves manualmente.</t>
  </si>
  <si>
    <t>Ranked</t>
  </si>
  <si>
    <t>Clasificado como Must Have (M) en tu matriz MoSCoW.</t>
  </si>
  <si>
    <t>Prioridad crítica; sin esto no hay operación.</t>
  </si>
  <si>
    <t>Prioridad Must Have para evitar el bloqueo de usuarios.</t>
  </si>
  <si>
    <t>Unambiguos</t>
  </si>
  <si>
    <t>Define claramente que gestiona acceso, autenticación y perfiles.</t>
  </si>
  <si>
    <t>NOK</t>
  </si>
  <si>
    <t>No se especifica si el bloqueo de cuenta es por IP o por ID de usuario, lo que genera ambigüedad en la política de seguridad.</t>
  </si>
  <si>
    <t>Define que el código es de 6 dígitos y dura 10 minutos.</t>
  </si>
  <si>
    <t>Valid and up-to date</t>
  </si>
  <si>
    <t>Fecha de vigencia: 18 de enero de 2026.</t>
  </si>
  <si>
    <t>Incluye reglas modernas como encriptación y expiración de sesión.</t>
  </si>
  <si>
    <t>Sigue estándares actuales de seguridad (tokens temporales).</t>
  </si>
  <si>
    <t>Correct</t>
  </si>
  <si>
    <t>Cubre la necesidad de jerarquía entre Administrador y Copropietario.</t>
  </si>
  <si>
    <t>El flujo normal (pasos 1-6) sigue la lógica estándar de autenticación.</t>
  </si>
  <si>
    <t>El proceso de validación vía correo electrónico es el correcto para este sistema.</t>
  </si>
  <si>
    <t>Consisten</t>
  </si>
  <si>
    <t>No contradice otros requisitos; es la base de la seguridad.</t>
  </si>
  <si>
    <t>Se alinea con el RNF-01 (bcrypt y bloqueo de cuenta).</t>
  </si>
  <si>
    <t>Existe una inconsistencia sobre el estado de las sesiones activas en otros dispositivos al momento de cambiar la contraseña.</t>
  </si>
  <si>
    <t>Verifiable</t>
  </si>
  <si>
    <t>Se verifica mediante pruebas de caja negra (login exitoso/fallido).</t>
  </si>
  <si>
    <t>El criterio de "bloqueo de 15 min" no es verificable sin definir si el contador se reinicia ante cada intento fallido adicional durante el bloqueo.</t>
  </si>
  <si>
    <t>Se puede verificar enviando el correo y validando el código en el sistema.</t>
  </si>
  <si>
    <t>Realizable</t>
  </si>
  <si>
    <t>El uso de sesiones y perfiles es estándar en desarrollo web.</t>
  </si>
  <si>
    <t>Cambia a OK: Factible mediante el uso de bases de datos y manejo de sesiones.</t>
  </si>
  <si>
    <t>La factibilidad técnica depende de un servicio SMTP externo cuya latencia no ha sido considerada en los tiempos de respuesta del RNF-05.</t>
  </si>
  <si>
    <t>Traceable</t>
  </si>
  <si>
    <t>ID: RF-01, vinculado a los sub-procesos 1.1, 1.2 y 1.3.</t>
  </si>
  <si>
    <t>ID: RF-1.1.</t>
  </si>
  <si>
    <t>ID: RF-1.2.</t>
  </si>
  <si>
    <t>Complete</t>
  </si>
  <si>
    <t>Describe el propósito, actores y la regla de "mínimo un Administrador".</t>
  </si>
  <si>
    <t>Tiene precondiciones, postcondiciones y manejo de excepciones (flujo alterno).</t>
  </si>
  <si>
    <t>El flujo no describe qué sucede si el usuario solicita un nuevo código antes de que expire el anterior (solapamiento de tokens).</t>
  </si>
  <si>
    <t>Understandability</t>
  </si>
  <si>
    <t>No define el flujo de "Cierre de Sesión" (Logout), dejando incompleto el ciclo de vida de la administración de acceso.</t>
  </si>
  <si>
    <t>Detalla el proceso de validación paso a paso.</t>
  </si>
  <si>
    <t>Explica claramente la interacción usuario-sistema-correo.</t>
  </si>
  <si>
    <t>FECHA:</t>
  </si>
  <si>
    <t>AUTOR:</t>
  </si>
  <si>
    <t>Jose Leiton</t>
  </si>
  <si>
    <t>REQUERIMIENTOS EVALUADOS :</t>
  </si>
  <si>
    <t>CU-01</t>
  </si>
  <si>
    <t>CONTENIDO</t>
  </si>
  <si>
    <t>No.</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</si>
  <si>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</si>
  <si>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</si>
  <si>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</si>
  <si>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</si>
  <si>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</si>
  <si>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</si>
  <si>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</si>
  <si>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</si>
  <si>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</si>
  <si>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</si>
  <si>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</si>
  <si>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</si>
  <si>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</si>
  <si>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</si>
  <si>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</si>
  <si>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</si>
  <si>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</si>
  <si>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</si>
  <si>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</si>
  <si>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</si>
  <si>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</si>
  <si>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</si>
  <si>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</si>
  <si>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</si>
  <si>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</si>
  <si>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</si>
  <si>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</si>
  <si>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r>
      <rPr>
        <rFont val="Calibri"/>
        <b/>
        <color theme="1"/>
        <sz val="14.0"/>
      </rPr>
      <t xml:space="preserve">AUTOR:  </t>
    </r>
    <r>
      <rPr>
        <rFont val="Calibri"/>
        <b val="0"/>
        <color theme="1"/>
        <sz val="14.0"/>
      </rPr>
      <t>Stiven Díaz</t>
    </r>
  </si>
  <si>
    <t>CU-1.1</t>
  </si>
  <si>
    <t>Gabriel Manosalvas</t>
  </si>
  <si>
    <t>CU-1.2</t>
  </si>
  <si>
    <t>PREGUNTA</t>
  </si>
  <si>
    <t>RECOMENDACIÓN</t>
  </si>
  <si>
    <t>¿Se ha definido el manejo de sesiones concurrentes para un mismo usuario?</t>
  </si>
  <si>
    <t>Especificar en la documentación si un Administrador o Copropietario puede tener la sesión abierta en varios dispositivos a la vez, o si el inicio de una nueva sesión debe cerrar automáticamente la anterior para mitigar riesgos de seguridad.</t>
  </si>
  <si>
    <t>¿Existe un protocolo de seguridad para el envío del código de recuperación de 6 dígitos?</t>
  </si>
  <si>
    <t>Asegurar que el código de verificación (RF-1.2) no se envíe en texto plano sin cifrado TLS en el correo, y definir un límite de reintentos para ingresar el código antes de invalidar el token actual, evitando ataques de fuerza bruta al código de 6 dígitos.</t>
  </si>
  <si>
    <t>¿Se ha contemplado la persistencia de la auditoría en la gestión de perfiles (RF-01)?</t>
  </si>
  <si>
    <t>Implementar un log o historial de cambios de privilegios. Si un Administrador promueve a un Copropietario, debe quedar registrado quién hizo el cambio, en qué fecha y bajo qué justificación, para mantener la trazabilidad que exige el RNF-02.</t>
  </si>
  <si>
    <t>¿El flujo de "Recuperar Contraseña" incluye la validación de contraseñas anteriores?</t>
  </si>
  <si>
    <t>Por seguridad, el sistema no debería permitir que la "nueva contraseña" sea igual a la anterior. Se recomienda añadir una regla de negocio que verifique el historial de las últimas 3 contraseñas para forzar una renovación real.</t>
  </si>
  <si>
    <t>¿Se han definido los estados visuales de los formularios en la interfaz (RNF-06)?</t>
  </si>
  <si>
    <t>Diseñar los estados de error y éxito de los campos en tiempo real (bordes rojos para errores, verdes para aciertos). Esto garantiza que el usuario sepa por qué no puede avanzar en el "Iniciar Sesión" sin esperar a que cargue la página.</t>
  </si>
  <si>
    <t>¿Qué sucede si el servicio de correo electrónico (SMTP) no está disponible durante la recuperación?</t>
  </si>
  <si>
    <t>Definir una excepción clara en el RF-1.2 que indique al usuario: "Servicio de correo temporalmente fuera de línea, intente más tarde", evitando que el sistema se quede "pensando" o muestre un error técnico (500) que confunda al copropietario.</t>
  </si>
  <si>
    <t>CU - 1.1</t>
  </si>
  <si>
    <t>¿Cómo avisa el sistema cuando la sesión caduca?</t>
  </si>
  <si>
    <t>Los comentarios indican que la sesión expira a las 2 horas. Se recomienda detallar en el flujo que el sistema debe devolver al usuario a la pantalla de inicio mostrando un mensaje claro: "Su sesión ha expirado por inactividad. Ingrese nuevamente"</t>
  </si>
  <si>
    <t>¿El usuario distingue entre mayúsculas y minúsculas?</t>
  </si>
  <si>
    <t>Para evitar bloqueos tontos si el copropietario escribe "CASA15" en lugar de "casa15", se recomienda especificar en el paso 2 del flujo normal  que el sistema transforma todo a minúsculas antes de validar (case-insensitive).</t>
  </si>
  <si>
    <t>Cuándo se reinicia el contador de intentos fallidos?</t>
  </si>
  <si>
    <t>El sistema bloquea la cuenta al tercer intento malo. Se recomienda añadir una nota que aclare que si el usuario se equivoca 2 veces, pero a la tercera ingresa correctamente, el contador de errores vuelve a cero automáticamente.</t>
  </si>
  <si>
    <t>¿Qué pasa visualmente si deja campos vacíos?</t>
  </si>
  <si>
    <t>Alineado con el RNF-06 de usabilidad , se recomienda indicar en el paso 2  que si el usuario no pone la clave, el campo se marque en rojo advirtiendo el error inmediatamente, sin tener que recargar la página</t>
  </si>
  <si>
    <t>¿Qué pasa con las sesiones abiertas en otros equipos tras cambiar la clave?</t>
  </si>
  <si>
    <t>Indicar en la postcondición que, al cambiar la contraseña con éxito, el sistema cierra automáticamente la sesión en cualquier otro dispositivo activo (móvil, PC) por seguridad.</t>
  </si>
  <si>
    <t>¿Qué ocurre si el correo tarda en enviarse por culpa del servidor?</t>
  </si>
  <si>
    <t xml:space="preserve"> Especificar que el sistema debe mostrar un estado de "Enviando..." y, si el correo falla, mostrar un mensaje amigable como "El servicio de correo está tardando, intente más tarde", para justificar los tiempos del RNF-05</t>
  </si>
  <si>
    <t>¿El sistema anula el código anterior si el usuario se desespera y pide otro?</t>
  </si>
  <si>
    <t>Añadir en el flujo normal que si el usuario solicita un nuevo código antes de los 10 minutos, el código anterior caduca inmediatamente para evitar confusiones de "solapamiento".</t>
  </si>
  <si>
    <t>¿Se unificaron los identificadores en todo el documento?</t>
  </si>
  <si>
    <t>Corregir el ID en la Matriz de Priorización, ya que actualmente figura como "RF-02" cuando pertenece a "RF-1.2". Esto arregla inmediatamente la trazabilidad.</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</si>
</sst>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8.0"/>
      <color theme="1"/>
      <name val="Arial"/>
    </font>
    <font>
      <b/>
      <sz val="18.0"/>
      <color rgb="FF1F497D"/>
      <name val="Calibri"/>
    </font>
    <font>
      <b/>
      <sz val="18.0"/>
      <color theme="1"/>
      <name val="Calibri"/>
    </font>
    <font>
      <b/>
      <sz val="12.0"/>
      <color theme="1"/>
      <name val="Arial"/>
    </font>
    <font/>
    <font>
      <b/>
      <sz val="11.0"/>
      <color theme="1"/>
      <name val="Arial"/>
    </font>
    <font>
      <sz val="11.0"/>
      <color theme="1"/>
      <name val="Calibri"/>
    </font>
    <font>
      <b/>
      <sz val="16.0"/>
      <color theme="0"/>
      <name val="Calibri"/>
    </font>
    <font>
      <b/>
      <sz val="16.0"/>
      <color theme="1"/>
      <name val="Calibri"/>
    </font>
    <font>
      <b/>
      <sz val="12.0"/>
      <color rgb="FFFFFFFF"/>
      <name val="Calibri"/>
    </font>
    <font>
      <b/>
      <sz val="16.0"/>
      <color rgb="FFFFFFFF"/>
      <name val="Calibri"/>
    </font>
    <font>
      <b/>
      <sz val="14.0"/>
      <color theme="1"/>
      <name val="Calibri"/>
    </font>
    <font>
      <sz val="14.0"/>
      <color theme="1"/>
      <name val="Calibri"/>
    </font>
    <font>
      <b/>
      <sz val="18.0"/>
      <color rgb="FFFA7D00"/>
      <name val="Calibri"/>
    </font>
    <font>
      <b/>
      <sz val="11.0"/>
      <color rgb="FF006100"/>
      <name val="Calibri"/>
    </font>
    <font>
      <color theme="1"/>
      <name val="Calibri"/>
      <scheme val="minor"/>
    </font>
    <font>
      <b/>
      <sz val="11.0"/>
      <color theme="0"/>
      <name val="Calibri"/>
    </font>
    <font>
      <i/>
      <color theme="1"/>
      <name val="Calibri"/>
      <scheme val="minor"/>
    </font>
  </fonts>
  <fills count="13">
    <fill>
      <patternFill patternType="none"/>
    </fill>
    <fill>
      <patternFill patternType="lightGray"/>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B8CCE4"/>
        <bgColor rgb="FFB8CCE4"/>
      </patternFill>
    </fill>
    <fill>
      <patternFill patternType="solid">
        <fgColor rgb="FFFFFFFF"/>
        <bgColor rgb="FFFFFFFF"/>
      </patternFill>
    </fill>
    <fill>
      <patternFill patternType="solid">
        <fgColor rgb="FF9BBB59"/>
        <bgColor rgb="FF9BBB59"/>
      </patternFill>
    </fill>
    <fill>
      <patternFill patternType="solid">
        <fgColor rgb="FFEAF1DD"/>
        <bgColor rgb="FFEAF1DD"/>
      </patternFill>
    </fill>
    <fill>
      <patternFill patternType="solid">
        <fgColor rgb="FFF79646"/>
        <bgColor rgb="FFF79646"/>
      </patternFill>
    </fill>
    <fill>
      <patternFill patternType="solid">
        <fgColor rgb="FFFDE9D9"/>
        <bgColor rgb="FFFDE9D9"/>
      </patternFill>
    </fill>
    <fill>
      <patternFill patternType="solid">
        <fgColor rgb="FFC2D69B"/>
        <bgColor rgb="FFC2D69B"/>
      </patternFill>
    </fill>
  </fills>
  <borders count="16">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3" numFmtId="0" xfId="0" applyAlignment="1" applyFont="1">
      <alignment horizontal="left" readingOrder="0"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3" fillId="0" fontId="5" numFmtId="0" xfId="0" applyBorder="1" applyFont="1"/>
    <xf borderId="1" fillId="2" fontId="6" numFmtId="0" xfId="0" applyAlignment="1" applyBorder="1" applyFont="1">
      <alignment horizontal="center" shrinkToFit="0" vertical="center" wrapText="1"/>
    </xf>
    <xf borderId="1" fillId="2" fontId="4" numFmtId="0" xfId="0" applyAlignment="1" applyBorder="1" applyFont="1">
      <alignment horizontal="center" readingOrder="0" shrinkToFit="0" vertical="center" wrapText="1"/>
    </xf>
    <xf borderId="4" fillId="0" fontId="7" numFmtId="0" xfId="0" applyBorder="1" applyFont="1"/>
    <xf borderId="5" fillId="0" fontId="5" numFmtId="0" xfId="0" applyBorder="1" applyFont="1"/>
    <xf borderId="6" fillId="0" fontId="5" numFmtId="0" xfId="0" applyBorder="1" applyFont="1"/>
    <xf borderId="7" fillId="0" fontId="5" numFmtId="0" xfId="0" applyBorder="1" applyFont="1"/>
    <xf borderId="8" fillId="3" fontId="8" numFmtId="0" xfId="0" applyAlignment="1" applyBorder="1" applyFill="1" applyFont="1">
      <alignment horizontal="center" shrinkToFit="0" vertical="center" wrapText="1"/>
    </xf>
    <xf borderId="9" fillId="3" fontId="8" numFmtId="0" xfId="0" applyAlignment="1" applyBorder="1" applyFont="1">
      <alignment horizontal="center" shrinkToFit="0" vertical="center" wrapText="1"/>
    </xf>
    <xf borderId="10" fillId="0" fontId="5" numFmtId="0" xfId="0" applyBorder="1" applyFont="1"/>
    <xf borderId="4" fillId="4" fontId="9" numFmtId="0" xfId="0" applyAlignment="1" applyBorder="1" applyFill="1" applyFont="1">
      <alignment horizontal="center" shrinkToFit="0" vertical="center" wrapText="1"/>
    </xf>
    <xf borderId="11" fillId="3" fontId="10" numFmtId="0" xfId="0" applyAlignment="1" applyBorder="1" applyFont="1">
      <alignment horizontal="left" readingOrder="0" shrinkToFit="0" vertical="center" wrapText="1"/>
    </xf>
    <xf borderId="0" fillId="0" fontId="7" numFmtId="0" xfId="0" applyFont="1"/>
    <xf borderId="4" fillId="4" fontId="9" numFmtId="0" xfId="0" applyAlignment="1" applyBorder="1" applyFont="1">
      <alignment horizontal="center" readingOrder="0" shrinkToFit="0" vertical="center" wrapText="1"/>
    </xf>
    <xf borderId="4" fillId="3" fontId="10" numFmtId="0" xfId="0" applyAlignment="1" applyBorder="1" applyFont="1">
      <alignment readingOrder="0" shrinkToFit="0" vertical="center" wrapText="1"/>
    </xf>
    <xf borderId="9" fillId="3" fontId="11" numFmtId="0" xfId="0" applyAlignment="1" applyBorder="1" applyFont="1">
      <alignment horizontal="center" readingOrder="0" shrinkToFit="0" vertical="center" wrapText="1"/>
    </xf>
    <xf borderId="4" fillId="5" fontId="9" numFmtId="0" xfId="0" applyAlignment="1" applyBorder="1" applyFill="1" applyFont="1">
      <alignment horizontal="center" readingOrder="0" shrinkToFit="0" vertical="center" wrapText="1"/>
    </xf>
    <xf borderId="4" fillId="3" fontId="10" numFmtId="0" xfId="0" applyAlignment="1" applyBorder="1" applyFont="1">
      <alignment horizontal="left" readingOrder="0" shrinkToFit="0" vertical="center" wrapText="1"/>
    </xf>
    <xf borderId="12" fillId="3" fontId="10" numFmtId="0" xfId="0" applyAlignment="1" applyBorder="1" applyFont="1">
      <alignment horizontal="left" readingOrder="0" shrinkToFit="0" vertical="center" wrapText="1"/>
    </xf>
    <xf borderId="0" fillId="0" fontId="7" numFmtId="0" xfId="0" applyAlignment="1" applyFont="1">
      <alignment vertical="top"/>
    </xf>
    <xf borderId="0" fillId="0" fontId="12" numFmtId="0" xfId="0" applyAlignment="1" applyFont="1">
      <alignment horizontal="left" vertical="top"/>
    </xf>
    <xf borderId="0" fillId="0" fontId="13" numFmtId="0" xfId="0" applyAlignment="1" applyFont="1">
      <alignment horizontal="left" readingOrder="0" shrinkToFit="0" vertical="top" wrapText="1"/>
    </xf>
    <xf borderId="0" fillId="0" fontId="12" numFmtId="0" xfId="0" applyAlignment="1" applyFont="1">
      <alignment horizontal="left"/>
    </xf>
    <xf borderId="0" fillId="0" fontId="13" numFmtId="15" xfId="0" applyAlignment="1" applyFont="1" applyNumberFormat="1">
      <alignment horizontal="left" readingOrder="0" shrinkToFit="0" wrapText="1"/>
    </xf>
    <xf borderId="0" fillId="0" fontId="13" numFmtId="0" xfId="0" applyAlignment="1" applyFont="1">
      <alignment horizontal="left" readingOrder="0" shrinkToFit="0" wrapText="1"/>
    </xf>
    <xf borderId="0" fillId="0" fontId="14" numFmtId="0" xfId="0" applyAlignment="1" applyFont="1">
      <alignment horizontal="center" vertical="center"/>
    </xf>
    <xf borderId="11" fillId="6" fontId="13" numFmtId="0" xfId="0" applyAlignment="1" applyBorder="1" applyFill="1" applyFont="1">
      <alignment horizontal="center" vertical="center"/>
    </xf>
    <xf borderId="13" fillId="6" fontId="13" numFmtId="0" xfId="0" applyAlignment="1" applyBorder="1" applyFont="1">
      <alignment horizontal="center" vertical="center"/>
    </xf>
    <xf borderId="14" fillId="6" fontId="13" numFmtId="0" xfId="0" applyAlignment="1" applyBorder="1" applyFont="1">
      <alignment horizontal="center" vertical="center"/>
    </xf>
    <xf borderId="10" fillId="0" fontId="7" numFmtId="0" xfId="0" applyAlignment="1" applyBorder="1" applyFont="1">
      <alignment horizontal="center" vertical="center"/>
    </xf>
    <xf borderId="4" fillId="0" fontId="7" numFmtId="0" xfId="0" applyAlignment="1" applyBorder="1" applyFont="1">
      <alignment shrinkToFit="0" wrapText="1"/>
    </xf>
    <xf borderId="4" fillId="0" fontId="7" numFmtId="0" xfId="0" applyAlignment="1" applyBorder="1" applyFont="1">
      <alignment horizontal="center" vertical="center"/>
    </xf>
    <xf borderId="9" fillId="0" fontId="7" numFmtId="0" xfId="0" applyAlignment="1" applyBorder="1" applyFont="1">
      <alignment horizontal="center" vertical="center"/>
    </xf>
    <xf borderId="3" fillId="0" fontId="7" numFmtId="0" xfId="0" applyAlignment="1" applyBorder="1" applyFont="1">
      <alignment horizontal="center" vertical="center"/>
    </xf>
    <xf borderId="1" fillId="0" fontId="7" numFmtId="0" xfId="0" applyAlignment="1" applyBorder="1" applyFont="1">
      <alignment shrinkToFit="0" wrapText="1"/>
    </xf>
    <xf borderId="1" fillId="0" fontId="7" numFmtId="0" xfId="0" applyAlignment="1" applyBorder="1" applyFont="1">
      <alignment horizontal="center" vertical="center"/>
    </xf>
    <xf borderId="0" fillId="0" fontId="12" numFmtId="0" xfId="0" applyAlignment="1" applyFont="1">
      <alignment horizontal="left" vertical="center"/>
    </xf>
    <xf borderId="0" fillId="0" fontId="7" numFmtId="9" xfId="0" applyFont="1" applyNumberFormat="1"/>
    <xf borderId="15" fillId="0" fontId="14" numFmtId="0" xfId="0" applyAlignment="1" applyBorder="1" applyFont="1">
      <alignment horizontal="center" vertical="center"/>
    </xf>
    <xf borderId="15" fillId="0" fontId="5" numFmtId="0" xfId="0" applyBorder="1" applyFont="1"/>
    <xf borderId="7" fillId="0" fontId="12" numFmtId="0" xfId="0" applyAlignment="1" applyBorder="1" applyFont="1">
      <alignment horizontal="center" vertical="center"/>
    </xf>
    <xf borderId="5" fillId="0" fontId="12" numFmtId="0" xfId="0" applyAlignment="1" applyBorder="1" applyFont="1">
      <alignment horizontal="center" vertical="center"/>
    </xf>
    <xf borderId="5" fillId="0" fontId="9" numFmtId="0" xfId="0" applyAlignment="1" applyBorder="1" applyFont="1">
      <alignment horizontal="center" vertical="center"/>
    </xf>
    <xf borderId="6" fillId="0" fontId="9" numFmtId="0" xfId="0" applyAlignment="1" applyBorder="1" applyFont="1">
      <alignment horizontal="center" vertical="center"/>
    </xf>
    <xf borderId="2" fillId="0" fontId="7" numFmtId="0" xfId="0" applyAlignment="1" applyBorder="1" applyFont="1">
      <alignment horizontal="center" vertical="center"/>
    </xf>
    <xf borderId="0" fillId="0" fontId="12" numFmtId="0" xfId="0" applyAlignment="1" applyFont="1">
      <alignment horizontal="center"/>
    </xf>
    <xf borderId="0" fillId="0" fontId="12" numFmtId="0" xfId="0" applyAlignment="1" applyFont="1">
      <alignment horizontal="left" readingOrder="0"/>
    </xf>
    <xf borderId="0" fillId="0" fontId="7" numFmtId="0" xfId="0" applyAlignment="1" applyFont="1">
      <alignment readingOrder="0"/>
    </xf>
    <xf borderId="0" fillId="0" fontId="7" numFmtId="0" xfId="0" applyAlignment="1" applyFont="1">
      <alignment vertical="bottom"/>
    </xf>
    <xf borderId="0" fillId="0" fontId="12" numFmtId="0" xfId="0" applyAlignment="1" applyFont="1">
      <alignment vertical="bottom"/>
    </xf>
    <xf borderId="0" fillId="0" fontId="13" numFmtId="0" xfId="0" applyAlignment="1" applyFont="1">
      <alignment shrinkToFit="0" vertical="bottom" wrapText="1"/>
    </xf>
    <xf borderId="0" fillId="0" fontId="13" numFmtId="0" xfId="0" applyAlignment="1" applyFont="1">
      <alignment readingOrder="0" shrinkToFit="0" vertical="bottom" wrapText="1"/>
    </xf>
    <xf borderId="0" fillId="0" fontId="14" numFmtId="0" xfId="0" applyAlignment="1" applyFont="1">
      <alignment horizontal="center" vertical="bottom"/>
    </xf>
    <xf borderId="11" fillId="7" fontId="13" numFmtId="0" xfId="0" applyAlignment="1" applyBorder="1" applyFill="1" applyFont="1">
      <alignment horizontal="center" vertical="bottom"/>
    </xf>
    <xf borderId="13" fillId="7" fontId="13" numFmtId="0" xfId="0" applyAlignment="1" applyBorder="1" applyFont="1">
      <alignment horizontal="center" vertical="bottom"/>
    </xf>
    <xf borderId="14" fillId="7" fontId="13" numFmtId="0" xfId="0" applyAlignment="1" applyBorder="1" applyFont="1">
      <alignment horizontal="center" vertical="bottom"/>
    </xf>
    <xf borderId="10" fillId="2" fontId="7" numFmtId="0" xfId="0" applyAlignment="1" applyBorder="1" applyFont="1">
      <alignment horizontal="center" vertical="bottom"/>
    </xf>
    <xf borderId="4" fillId="2" fontId="7" numFmtId="0" xfId="0" applyAlignment="1" applyBorder="1" applyFont="1">
      <alignment shrinkToFit="0" vertical="bottom" wrapText="1"/>
    </xf>
    <xf borderId="4" fillId="2" fontId="15" numFmtId="0" xfId="0" applyAlignment="1" applyBorder="1" applyFont="1">
      <alignment horizontal="center" vertical="bottom"/>
    </xf>
    <xf borderId="9" fillId="2" fontId="7" numFmtId="0" xfId="0" applyAlignment="1" applyBorder="1" applyFont="1">
      <alignment vertical="bottom"/>
    </xf>
    <xf borderId="10" fillId="6" fontId="7" numFmtId="0" xfId="0" applyAlignment="1" applyBorder="1" applyFont="1">
      <alignment horizontal="center" vertical="bottom"/>
    </xf>
    <xf borderId="4" fillId="6" fontId="7" numFmtId="0" xfId="0" applyAlignment="1" applyBorder="1" applyFont="1">
      <alignment shrinkToFit="0" vertical="bottom" wrapText="1"/>
    </xf>
    <xf borderId="4" fillId="0" fontId="16" numFmtId="0" xfId="0" applyBorder="1" applyFont="1"/>
    <xf borderId="4" fillId="6" fontId="15" numFmtId="0" xfId="0" applyAlignment="1" applyBorder="1" applyFont="1">
      <alignment horizontal="center" vertical="bottom"/>
    </xf>
    <xf borderId="4" fillId="2" fontId="7" numFmtId="0" xfId="0" applyAlignment="1" applyBorder="1" applyFont="1">
      <alignment vertical="bottom"/>
    </xf>
    <xf borderId="4" fillId="6" fontId="7" numFmtId="0" xfId="0" applyAlignment="1" applyBorder="1" applyFont="1">
      <alignment vertical="bottom"/>
    </xf>
    <xf borderId="3" fillId="2" fontId="7" numFmtId="0" xfId="0" applyAlignment="1" applyBorder="1" applyFont="1">
      <alignment horizontal="center" vertical="bottom"/>
    </xf>
    <xf borderId="1" fillId="2" fontId="7" numFmtId="0" xfId="0" applyAlignment="1" applyBorder="1" applyFont="1">
      <alignment shrinkToFit="0" vertical="bottom" wrapText="1"/>
    </xf>
    <xf borderId="0" fillId="0" fontId="7" numFmtId="0" xfId="0" applyAlignment="1" applyFont="1">
      <alignment horizontal="right" vertical="bottom"/>
    </xf>
    <xf borderId="0" fillId="0" fontId="7" numFmtId="9" xfId="0" applyAlignment="1" applyFont="1" applyNumberFormat="1">
      <alignment horizontal="right" vertical="bottom"/>
    </xf>
    <xf borderId="0" fillId="0" fontId="7" numFmtId="9" xfId="0" applyAlignment="1" applyFont="1" applyNumberFormat="1">
      <alignment vertical="bottom"/>
    </xf>
    <xf borderId="15" fillId="0" fontId="14" numFmtId="0" xfId="0" applyAlignment="1" applyBorder="1" applyFont="1">
      <alignment horizontal="center" vertical="bottom"/>
    </xf>
    <xf borderId="7" fillId="8" fontId="12" numFmtId="0" xfId="0" applyAlignment="1" applyBorder="1" applyFill="1" applyFont="1">
      <alignment horizontal="center" vertical="bottom"/>
    </xf>
    <xf borderId="5" fillId="8" fontId="12" numFmtId="0" xfId="0" applyAlignment="1" applyBorder="1" applyFont="1">
      <alignment horizontal="center" vertical="bottom"/>
    </xf>
    <xf borderId="5" fillId="8" fontId="9" numFmtId="0" xfId="0" applyAlignment="1" applyBorder="1" applyFont="1">
      <alignment horizontal="center" vertical="bottom"/>
    </xf>
    <xf borderId="6" fillId="8" fontId="9" numFmtId="0" xfId="0" applyAlignment="1" applyBorder="1" applyFont="1">
      <alignment horizontal="center" vertical="bottom"/>
    </xf>
    <xf borderId="4" fillId="9" fontId="7" numFmtId="0" xfId="0" applyAlignment="1" applyBorder="1" applyFill="1" applyFont="1">
      <alignment horizontal="center" vertical="bottom"/>
    </xf>
    <xf borderId="4" fillId="9" fontId="7" numFmtId="0" xfId="0" applyAlignment="1" applyBorder="1" applyFont="1">
      <alignment shrinkToFit="0" vertical="bottom" wrapText="1"/>
    </xf>
    <xf borderId="4" fillId="9" fontId="15" numFmtId="0" xfId="0" applyAlignment="1" applyBorder="1" applyFont="1">
      <alignment horizontal="center" vertical="bottom"/>
    </xf>
    <xf borderId="4" fillId="9" fontId="7" numFmtId="0" xfId="0" applyAlignment="1" applyBorder="1" applyFont="1">
      <alignment vertical="bottom"/>
    </xf>
    <xf borderId="4" fillId="6" fontId="7" numFmtId="0" xfId="0" applyAlignment="1" applyBorder="1" applyFont="1">
      <alignment horizontal="center" vertical="bottom"/>
    </xf>
    <xf borderId="0" fillId="0" fontId="7" numFmtId="0" xfId="0" applyAlignment="1" applyFont="1">
      <alignment horizontal="right" readingOrder="0" vertical="bottom"/>
    </xf>
    <xf borderId="7" fillId="10" fontId="12" numFmtId="0" xfId="0" applyAlignment="1" applyBorder="1" applyFill="1" applyFont="1">
      <alignment horizontal="center" vertical="bottom"/>
    </xf>
    <xf borderId="4" fillId="10" fontId="12" numFmtId="0" xfId="0" applyAlignment="1" applyBorder="1" applyFont="1">
      <alignment horizontal="center" vertical="bottom"/>
    </xf>
    <xf borderId="4" fillId="10" fontId="9" numFmtId="0" xfId="0" applyAlignment="1" applyBorder="1" applyFont="1">
      <alignment horizontal="center" vertical="bottom"/>
    </xf>
    <xf borderId="6" fillId="10" fontId="9" numFmtId="0" xfId="0" applyAlignment="1" applyBorder="1" applyFont="1">
      <alignment horizontal="center" vertical="bottom"/>
    </xf>
    <xf borderId="10" fillId="11" fontId="7" numFmtId="0" xfId="0" applyAlignment="1" applyBorder="1" applyFill="1" applyFont="1">
      <alignment horizontal="center" vertical="bottom"/>
    </xf>
    <xf borderId="4" fillId="11" fontId="7" numFmtId="0" xfId="0" applyAlignment="1" applyBorder="1" applyFont="1">
      <alignment shrinkToFit="0" vertical="bottom" wrapText="1"/>
    </xf>
    <xf borderId="4" fillId="11" fontId="15" numFmtId="0" xfId="0" applyAlignment="1" applyBorder="1" applyFont="1">
      <alignment horizontal="center" vertical="bottom"/>
    </xf>
    <xf borderId="4" fillId="11" fontId="7" numFmtId="0" xfId="0" applyAlignment="1" applyBorder="1" applyFont="1">
      <alignment vertical="bottom"/>
    </xf>
    <xf borderId="3" fillId="11" fontId="7" numFmtId="0" xfId="0" applyAlignment="1" applyBorder="1" applyFont="1">
      <alignment horizontal="center" vertical="bottom"/>
    </xf>
    <xf borderId="0" fillId="0" fontId="12" numFmtId="0" xfId="0" applyAlignment="1" applyFont="1">
      <alignment horizontal="center" vertical="bottom"/>
    </xf>
    <xf borderId="0" fillId="0" fontId="7" numFmtId="0" xfId="0" applyAlignment="1" applyFont="1">
      <alignment vertical="top"/>
    </xf>
    <xf borderId="4" fillId="12" fontId="17" numFmtId="0" xfId="0" applyAlignment="1" applyBorder="1" applyFill="1" applyFont="1">
      <alignment horizontal="center" vertical="center"/>
    </xf>
    <xf borderId="4" fillId="0" fontId="7" numFmtId="0" xfId="0" applyAlignment="1" applyBorder="1" applyFont="1">
      <alignment readingOrder="0" shrinkToFit="0" wrapText="1"/>
    </xf>
    <xf borderId="4" fillId="0" fontId="7" numFmtId="0" xfId="0" applyAlignment="1" applyBorder="1" applyFont="1">
      <alignment readingOrder="0"/>
    </xf>
    <xf borderId="4" fillId="0" fontId="16" numFmtId="0" xfId="0" applyAlignment="1" applyBorder="1" applyFont="1">
      <alignment readingOrder="0"/>
    </xf>
    <xf borderId="0" fillId="0" fontId="16" numFmtId="0" xfId="0" applyAlignment="1" applyFont="1">
      <alignment readingOrder="0"/>
    </xf>
    <xf borderId="4" fillId="0" fontId="18" numFmtId="0" xfId="0" applyAlignment="1" applyBorder="1" applyFont="1">
      <alignment readingOrder="0"/>
    </xf>
  </cellXfs>
  <cellStyles count="1">
    <cellStyle xfId="0" name="Normal" builtinId="0"/>
  </cellStyles>
  <dxfs count="13">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B8CCE4"/>
          <bgColor rgb="FFB8CCE4"/>
        </patternFill>
      </fill>
      <border/>
    </dxf>
    <dxf>
      <font/>
      <fill>
        <patternFill patternType="solid">
          <fgColor theme="6"/>
          <bgColor theme="6"/>
        </patternFill>
      </fill>
      <border/>
    </dxf>
    <dxf>
      <font/>
      <fill>
        <patternFill patternType="solid">
          <fgColor rgb="FFEAF1DD"/>
          <bgColor rgb="FFEAF1DD"/>
        </patternFill>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rgb="FFFFC7CE"/>
          <bgColor rgb="FFFFC7CE"/>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font>
      <fill>
        <patternFill patternType="solid">
          <fgColor rgb="FFFF0000"/>
          <bgColor rgb="FFFF0000"/>
        </patternFill>
      </fill>
      <border/>
    </dxf>
    <dxf>
      <font>
        <color rgb="FFFF0000"/>
      </font>
      <fill>
        <patternFill patternType="none"/>
      </fill>
      <border/>
    </dxf>
  </dxfs>
  <tableStyles count="9">
    <tableStyle count="3" pivot="0" name="MODELO LISTA DE COMPROBACION - -style">
      <tableStyleElement dxfId="1" type="headerRow"/>
      <tableStyleElement dxfId="2" type="firstRowStripe"/>
      <tableStyleElement dxfId="3" type="secondRowStripe"/>
    </tableStyle>
    <tableStyle count="3" pivot="0" name="MODELO LISTA DE COMPROBACION - -style 2">
      <tableStyleElement dxfId="4" type="headerRow"/>
      <tableStyleElement dxfId="5" type="firstRowStripe"/>
      <tableStyleElement dxfId="3" type="secondRowStripe"/>
    </tableStyle>
    <tableStyle count="3" pivot="0" name="MODELO LISTA DE COMPROBACION - -style 3">
      <tableStyleElement dxfId="6" type="headerRow"/>
      <tableStyleElement dxfId="7" type="firstRowStripe"/>
      <tableStyleElement dxfId="3" type="secondRowStripe"/>
    </tableStyle>
    <tableStyle count="3" pivot="0" name="MODELO LISTA DE COMPROBACION - -style 4">
      <tableStyleElement dxfId="1" type="headerRow"/>
      <tableStyleElement dxfId="2" type="firstRowStripe"/>
      <tableStyleElement dxfId="3" type="secondRowStripe"/>
    </tableStyle>
    <tableStyle count="3" pivot="0" name="MODELO LISTA DE COMPROBACION - -style 5">
      <tableStyleElement dxfId="4" type="headerRow"/>
      <tableStyleElement dxfId="5" type="firstRowStripe"/>
      <tableStyleElement dxfId="3" type="secondRowStripe"/>
    </tableStyle>
    <tableStyle count="3" pivot="0" name="MODELO LISTA DE COMPROBACION - -style 6">
      <tableStyleElement dxfId="6" type="headerRow"/>
      <tableStyleElement dxfId="7" type="firstRowStripe"/>
      <tableStyleElement dxfId="3" type="secondRowStripe"/>
    </tableStyle>
    <tableStyle count="3" pivot="0" name="MODELO LISTA DE COMPROBACION - -style 7">
      <tableStyleElement dxfId="1" type="headerRow"/>
      <tableStyleElement dxfId="2" type="firstRowStripe"/>
      <tableStyleElement dxfId="3" type="secondRowStripe"/>
    </tableStyle>
    <tableStyle count="3" pivot="0" name="MODELO LISTA DE COMPROBACION - -style 8">
      <tableStyleElement dxfId="4" type="headerRow"/>
      <tableStyleElement dxfId="5" type="firstRowStripe"/>
      <tableStyleElement dxfId="3" type="secondRowStripe"/>
    </tableStyle>
    <tableStyle count="3" pivot="0" name="MODELO LISTA DE COMPROBACION - -style 9">
      <tableStyleElement dxfId="6" type="headerRow"/>
      <tableStyleElement dxfId="7"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'!$B$41:$B$43</c:f>
            </c:strRef>
          </c:cat>
          <c:val>
            <c:numRef>
              <c:f>'MODELO LISTA DE COMPROBACION - '!$C$41:$C$43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'!$B$85:$B$87</c:f>
            </c:strRef>
          </c:cat>
          <c:val>
            <c:numRef>
              <c:f>'MODELO LISTA DE COMPROBACION - '!$C$85:$C$87</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CRITERIO DE CALIDAD </a:t>
            </a:r>
          </a:p>
        </c:rich>
      </c:tx>
      <c:layout>
        <c:manualLayout>
          <c:xMode val="edge"/>
          <c:yMode val="edge"/>
          <c:x val="0.3094930008748907"/>
          <c:y val="0.06018518518518518"/>
        </c:manualLayout>
      </c:layout>
      <c:overlay val="0"/>
    </c:title>
    <c:view3D>
      <c:rotX val="50"/>
      <c:perspective val="0"/>
    </c:view3D>
    <c:plotArea>
      <c:layout/>
      <c:pie3D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'MODELO LISTA DE COMPROBACION - '!$B$85:$B$87</c:f>
            </c:strRef>
          </c:cat>
          <c:val>
            <c:numRef>
              <c:f>'MODELO LISTA DE COMPROBACION - '!$C$129:$C$131</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247650</xdr:colOff>
      <xdr:row>33</xdr:row>
      <xdr:rowOff>485775</xdr:rowOff>
    </xdr:from>
    <xdr:ext cx="4286250" cy="21431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666750</xdr:colOff>
      <xdr:row>77</xdr:row>
      <xdr:rowOff>276225</xdr:rowOff>
    </xdr:from>
    <xdr:ext cx="4286250" cy="21431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695325</xdr:colOff>
      <xdr:row>120</xdr:row>
      <xdr:rowOff>400050</xdr:rowOff>
    </xdr:from>
    <xdr:ext cx="4286250" cy="214312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7:D16" displayName="Table_1" name="Table_1" id="1">
  <tableColumns count="4">
    <tableColumn name="No." id="1"/>
    <tableColumn name="Pregunta" id="2"/>
    <tableColumn name="SI" id="3"/>
    <tableColumn name="NO " id="4"/>
  </tableColumns>
  <tableStyleInfo name="MODELO LISTA DE COMPROBACION - -style" showColumnStripes="0" showFirstColumn="1" showLastColumn="1" showRowStripes="1"/>
</table>
</file>

<file path=xl/tables/table2.xml><?xml version="1.0" encoding="utf-8"?>
<table xmlns="http://schemas.openxmlformats.org/spreadsheetml/2006/main" ref="A21:D26" displayName="Table_2" name="Table_2" id="2">
  <tableColumns count="4">
    <tableColumn name="No." id="1"/>
    <tableColumn name="Pregunta" id="2"/>
    <tableColumn name="SI" id="3"/>
    <tableColumn name="NO " id="4"/>
  </tableColumns>
  <tableStyleInfo name="MODELO LISTA DE COMPROBACION - -style 2" showColumnStripes="0" showFirstColumn="1" showLastColumn="1" showRowStripes="1"/>
</table>
</file>

<file path=xl/tables/table3.xml><?xml version="1.0" encoding="utf-8"?>
<table xmlns="http://schemas.openxmlformats.org/spreadsheetml/2006/main" ref="A31:D34" displayName="Table_3" name="Table_3" id="3">
  <tableColumns count="4">
    <tableColumn name="No." id="1"/>
    <tableColumn name="Pregunta" id="2"/>
    <tableColumn name="SI" id="3"/>
    <tableColumn name="NO " id="4"/>
  </tableColumns>
  <tableStyleInfo name="MODELO LISTA DE COMPROBACION - -style 3" showColumnStripes="0" showFirstColumn="1" showLastColumn="1" showRowStripes="1"/>
</table>
</file>

<file path=xl/tables/table4.xml><?xml version="1.0" encoding="utf-8"?>
<table xmlns="http://schemas.openxmlformats.org/spreadsheetml/2006/main" ref="A51:D60" displayName="Table_4" name="Table_4" id="4">
  <tableColumns count="4">
    <tableColumn name="No." id="1"/>
    <tableColumn name="Pregunta" id="2"/>
    <tableColumn name="SI" id="3"/>
    <tableColumn name="NO " id="4"/>
  </tableColumns>
  <tableStyleInfo name="MODELO LISTA DE COMPROBACION - -style 4" showColumnStripes="0" showFirstColumn="1" showLastColumn="1" showRowStripes="1"/>
</table>
</file>

<file path=xl/tables/table5.xml><?xml version="1.0" encoding="utf-8"?>
<table xmlns="http://schemas.openxmlformats.org/spreadsheetml/2006/main" ref="A65:D70" displayName="Table_5" name="Table_5" id="5">
  <tableColumns count="4">
    <tableColumn name="No." id="1"/>
    <tableColumn name="Pregunta" id="2"/>
    <tableColumn name="SI" id="3"/>
    <tableColumn name="NO " id="4"/>
  </tableColumns>
  <tableStyleInfo name="MODELO LISTA DE COMPROBACION - -style 5" showColumnStripes="0" showFirstColumn="1" showLastColumn="1" showRowStripes="1"/>
</table>
</file>

<file path=xl/tables/table6.xml><?xml version="1.0" encoding="utf-8"?>
<table xmlns="http://schemas.openxmlformats.org/spreadsheetml/2006/main" ref="A75:D78" displayName="Table_6" name="Table_6" id="6">
  <tableColumns count="4">
    <tableColumn name="No." id="1"/>
    <tableColumn name="Pregunta" id="2"/>
    <tableColumn name="SI" id="3"/>
    <tableColumn name="NO " id="4"/>
  </tableColumns>
  <tableStyleInfo name="MODELO LISTA DE COMPROBACION - -style 6" showColumnStripes="0" showFirstColumn="1" showLastColumn="1" showRowStripes="1"/>
</table>
</file>

<file path=xl/tables/table7.xml><?xml version="1.0" encoding="utf-8"?>
<table xmlns="http://schemas.openxmlformats.org/spreadsheetml/2006/main" ref="A95:D104" displayName="Table_7" name="Table_7" id="7">
  <tableColumns count="4">
    <tableColumn name="No." id="1"/>
    <tableColumn name="Pregunta" id="2"/>
    <tableColumn name="SI" id="3"/>
    <tableColumn name="NO " id="4"/>
  </tableColumns>
  <tableStyleInfo name="MODELO LISTA DE COMPROBACION - -style 7" showColumnStripes="0" showFirstColumn="1" showLastColumn="1" showRowStripes="1"/>
</table>
</file>

<file path=xl/tables/table8.xml><?xml version="1.0" encoding="utf-8"?>
<table xmlns="http://schemas.openxmlformats.org/spreadsheetml/2006/main" ref="A109:D114" displayName="Table_8" name="Table_8" id="8">
  <tableColumns count="4">
    <tableColumn name="No." id="1"/>
    <tableColumn name="Pregunta" id="2"/>
    <tableColumn name="SI" id="3"/>
    <tableColumn name="NO " id="4"/>
  </tableColumns>
  <tableStyleInfo name="MODELO LISTA DE COMPROBACION - -style 8" showColumnStripes="0" showFirstColumn="1" showLastColumn="1" showRowStripes="1"/>
</table>
</file>

<file path=xl/tables/table9.xml><?xml version="1.0" encoding="utf-8"?>
<table xmlns="http://schemas.openxmlformats.org/spreadsheetml/2006/main" ref="A119:D122" displayName="Table_9" name="Table_9" id="9">
  <tableColumns count="4">
    <tableColumn name="No." id="1"/>
    <tableColumn name="Pregunta" id="2"/>
    <tableColumn name="SI" id="3"/>
    <tableColumn name="NO " id="4"/>
  </tableColumns>
  <tableStyleInfo name="MODELO LISTA DE COMPROBACION - -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 Id="rId19" Type="http://schemas.openxmlformats.org/officeDocument/2006/relationships/table" Target="../tables/table9.xml"/><Relationship Id="rId18"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57"/>
    <col customWidth="1" min="2" max="2" width="4.43"/>
    <col customWidth="1" min="3" max="3" width="3.71"/>
    <col customWidth="1" min="4" max="4" width="34.86"/>
    <col customWidth="1" min="5" max="5" width="9.71"/>
    <col customWidth="1" min="6" max="6" width="42.71"/>
    <col customWidth="1" min="7" max="7" width="10.14"/>
    <col customWidth="1" hidden="1" min="8" max="8" width="4.71"/>
    <col customWidth="1" min="9" max="9" width="42.71"/>
    <col customWidth="1" min="10" max="10" width="9.86"/>
    <col customWidth="1" min="11" max="11" width="39.57"/>
  </cols>
  <sheetData>
    <row r="1" ht="14.25" customHeight="1">
      <c r="C1" s="1"/>
    </row>
    <row r="2" ht="14.25" customHeight="1">
      <c r="C2" s="1"/>
    </row>
    <row r="3" ht="30.0" customHeight="1">
      <c r="C3" s="2" t="s">
        <v>0</v>
      </c>
    </row>
    <row r="4" ht="30.0" customHeight="1"/>
    <row r="5" ht="30.0" customHeight="1">
      <c r="C5" s="2"/>
      <c r="D5" s="3" t="s">
        <v>1</v>
      </c>
      <c r="E5" s="4" t="s">
        <v>2</v>
      </c>
    </row>
    <row r="6" ht="55.5" customHeight="1">
      <c r="C6" s="1"/>
    </row>
    <row r="7" ht="45.0" customHeight="1">
      <c r="B7" s="5" t="s">
        <v>3</v>
      </c>
      <c r="C7" s="6" t="s">
        <v>4</v>
      </c>
      <c r="D7" s="7"/>
      <c r="E7" s="8" t="s">
        <v>5</v>
      </c>
      <c r="F7" s="9" t="s">
        <v>6</v>
      </c>
      <c r="G7" s="8"/>
      <c r="H7" s="10"/>
      <c r="I7" s="9" t="s">
        <v>7</v>
      </c>
      <c r="J7" s="8"/>
      <c r="K7" s="9" t="s">
        <v>8</v>
      </c>
    </row>
    <row r="8" ht="60.0" customHeight="1">
      <c r="B8" s="11"/>
      <c r="C8" s="12"/>
      <c r="D8" s="13"/>
      <c r="E8" s="11"/>
      <c r="F8" s="11"/>
      <c r="G8" s="11"/>
      <c r="H8" s="10"/>
      <c r="I8" s="11"/>
      <c r="J8" s="11"/>
      <c r="K8" s="11"/>
    </row>
    <row r="9" ht="31.5" customHeight="1">
      <c r="B9" s="14">
        <v>1.0</v>
      </c>
      <c r="C9" s="15" t="s">
        <v>9</v>
      </c>
      <c r="D9" s="16"/>
      <c r="E9" s="17" t="s">
        <v>10</v>
      </c>
      <c r="F9" s="18" t="s">
        <v>11</v>
      </c>
      <c r="G9" s="17" t="s">
        <v>10</v>
      </c>
      <c r="H9" s="19"/>
      <c r="I9" s="18" t="s">
        <v>12</v>
      </c>
      <c r="J9" s="20" t="s">
        <v>10</v>
      </c>
      <c r="K9" s="18" t="s">
        <v>13</v>
      </c>
    </row>
    <row r="10" ht="29.25" customHeight="1">
      <c r="B10" s="14">
        <v>2.0</v>
      </c>
      <c r="C10" s="15" t="s">
        <v>14</v>
      </c>
      <c r="D10" s="16"/>
      <c r="E10" s="17" t="s">
        <v>10</v>
      </c>
      <c r="F10" s="21" t="s">
        <v>15</v>
      </c>
      <c r="G10" s="17" t="s">
        <v>10</v>
      </c>
      <c r="I10" s="21" t="s">
        <v>16</v>
      </c>
      <c r="J10" s="20" t="s">
        <v>10</v>
      </c>
      <c r="K10" s="21" t="s">
        <v>17</v>
      </c>
    </row>
    <row r="11" ht="50.25" customHeight="1">
      <c r="B11" s="14">
        <v>3.0</v>
      </c>
      <c r="C11" s="22" t="s">
        <v>18</v>
      </c>
      <c r="D11" s="16"/>
      <c r="E11" s="17" t="s">
        <v>10</v>
      </c>
      <c r="F11" s="21" t="s">
        <v>19</v>
      </c>
      <c r="G11" s="23" t="s">
        <v>20</v>
      </c>
      <c r="I11" s="21" t="s">
        <v>21</v>
      </c>
      <c r="J11" s="20" t="s">
        <v>10</v>
      </c>
      <c r="K11" s="21" t="s">
        <v>22</v>
      </c>
    </row>
    <row r="12" ht="31.5" customHeight="1">
      <c r="B12" s="14">
        <v>4.0</v>
      </c>
      <c r="C12" s="15" t="s">
        <v>23</v>
      </c>
      <c r="D12" s="16"/>
      <c r="E12" s="17" t="s">
        <v>10</v>
      </c>
      <c r="F12" s="24" t="s">
        <v>24</v>
      </c>
      <c r="G12" s="17" t="s">
        <v>10</v>
      </c>
      <c r="I12" s="24" t="s">
        <v>25</v>
      </c>
      <c r="J12" s="20" t="s">
        <v>10</v>
      </c>
      <c r="K12" s="24" t="s">
        <v>26</v>
      </c>
    </row>
    <row r="13" ht="29.25" customHeight="1">
      <c r="B13" s="14">
        <v>5.0</v>
      </c>
      <c r="C13" s="15" t="s">
        <v>27</v>
      </c>
      <c r="D13" s="16"/>
      <c r="E13" s="17" t="s">
        <v>10</v>
      </c>
      <c r="F13" s="24" t="s">
        <v>28</v>
      </c>
      <c r="G13" s="17" t="s">
        <v>10</v>
      </c>
      <c r="I13" s="24" t="s">
        <v>29</v>
      </c>
      <c r="J13" s="20" t="s">
        <v>10</v>
      </c>
      <c r="K13" s="24" t="s">
        <v>30</v>
      </c>
    </row>
    <row r="14" ht="60.0" customHeight="1">
      <c r="B14" s="14">
        <v>6.0</v>
      </c>
      <c r="C14" s="15" t="s">
        <v>31</v>
      </c>
      <c r="D14" s="16"/>
      <c r="E14" s="17" t="s">
        <v>10</v>
      </c>
      <c r="F14" s="24" t="s">
        <v>32</v>
      </c>
      <c r="G14" s="20" t="s">
        <v>10</v>
      </c>
      <c r="I14" s="24" t="s">
        <v>33</v>
      </c>
      <c r="J14" s="23" t="s">
        <v>20</v>
      </c>
      <c r="K14" s="24" t="s">
        <v>34</v>
      </c>
    </row>
    <row r="15">
      <c r="B15" s="14">
        <v>7.0</v>
      </c>
      <c r="C15" s="15" t="s">
        <v>35</v>
      </c>
      <c r="D15" s="16"/>
      <c r="E15" s="20" t="s">
        <v>10</v>
      </c>
      <c r="F15" s="24" t="s">
        <v>36</v>
      </c>
      <c r="G15" s="23" t="s">
        <v>20</v>
      </c>
      <c r="I15" s="24" t="s">
        <v>37</v>
      </c>
      <c r="J15" s="20" t="s">
        <v>10</v>
      </c>
      <c r="K15" s="24" t="s">
        <v>38</v>
      </c>
    </row>
    <row r="16">
      <c r="B16" s="14">
        <v>8.0</v>
      </c>
      <c r="C16" s="15" t="s">
        <v>39</v>
      </c>
      <c r="D16" s="16"/>
      <c r="E16" s="17" t="s">
        <v>10</v>
      </c>
      <c r="F16" s="24" t="s">
        <v>40</v>
      </c>
      <c r="G16" s="17" t="s">
        <v>10</v>
      </c>
      <c r="I16" s="24" t="s">
        <v>41</v>
      </c>
      <c r="J16" s="23" t="s">
        <v>20</v>
      </c>
      <c r="K16" s="24" t="s">
        <v>42</v>
      </c>
    </row>
    <row r="17" ht="27.75" customHeight="1">
      <c r="B17" s="14">
        <v>9.0</v>
      </c>
      <c r="C17" s="15" t="s">
        <v>43</v>
      </c>
      <c r="D17" s="16"/>
      <c r="E17" s="17" t="s">
        <v>10</v>
      </c>
      <c r="F17" s="25" t="s">
        <v>44</v>
      </c>
      <c r="G17" s="17" t="s">
        <v>10</v>
      </c>
      <c r="I17" s="25" t="s">
        <v>45</v>
      </c>
      <c r="J17" s="20" t="s">
        <v>10</v>
      </c>
      <c r="K17" s="25" t="s">
        <v>46</v>
      </c>
    </row>
    <row r="18">
      <c r="B18" s="14">
        <v>10.0</v>
      </c>
      <c r="C18" s="15" t="s">
        <v>47</v>
      </c>
      <c r="D18" s="16"/>
      <c r="E18" s="23" t="s">
        <v>20</v>
      </c>
      <c r="F18" s="24" t="s">
        <v>48</v>
      </c>
      <c r="G18" s="17" t="s">
        <v>10</v>
      </c>
      <c r="I18" s="24" t="s">
        <v>49</v>
      </c>
      <c r="J18" s="23" t="s">
        <v>20</v>
      </c>
      <c r="K18" s="24" t="s">
        <v>50</v>
      </c>
    </row>
    <row r="19" ht="43.5" customHeight="1">
      <c r="B19" s="14">
        <v>11.0</v>
      </c>
      <c r="C19" s="15" t="s">
        <v>51</v>
      </c>
      <c r="D19" s="16"/>
      <c r="E19" s="17" t="s">
        <v>10</v>
      </c>
      <c r="F19" s="24" t="s">
        <v>52</v>
      </c>
      <c r="G19" s="17" t="s">
        <v>10</v>
      </c>
      <c r="I19" s="24" t="s">
        <v>53</v>
      </c>
      <c r="J19" s="20" t="s">
        <v>10</v>
      </c>
      <c r="K19" s="24" t="s">
        <v>54</v>
      </c>
    </row>
    <row r="20" ht="14.25" customHeight="1">
      <c r="C20" s="1"/>
    </row>
    <row r="21" ht="14.25" customHeight="1">
      <c r="C21" s="1"/>
    </row>
    <row r="22" ht="14.25" customHeight="1">
      <c r="C22" s="1"/>
    </row>
    <row r="23" ht="14.25" customHeight="1">
      <c r="C23" s="1"/>
    </row>
    <row r="24" ht="14.25" customHeight="1">
      <c r="C24" s="1"/>
    </row>
    <row r="25" ht="14.25" customHeight="1">
      <c r="C25" s="1"/>
    </row>
    <row r="26" ht="14.25" customHeight="1">
      <c r="C26" s="1"/>
    </row>
    <row r="27" ht="14.25" customHeight="1">
      <c r="C27" s="1"/>
    </row>
    <row r="28" ht="14.25" customHeight="1">
      <c r="C28" s="1"/>
    </row>
    <row r="29" ht="14.25" customHeight="1">
      <c r="C29" s="1"/>
    </row>
    <row r="30" ht="14.25" customHeight="1">
      <c r="C30" s="1"/>
    </row>
    <row r="31" ht="14.25" customHeight="1">
      <c r="C31" s="1"/>
    </row>
    <row r="32" ht="14.25" customHeight="1">
      <c r="C32" s="1"/>
    </row>
    <row r="33" ht="14.25" customHeight="1">
      <c r="C33" s="1"/>
    </row>
    <row r="34" ht="14.25" customHeight="1">
      <c r="C34" s="1"/>
    </row>
    <row r="35" ht="14.25" customHeight="1">
      <c r="C35" s="1"/>
    </row>
    <row r="36" ht="14.25" customHeight="1">
      <c r="C36" s="1"/>
    </row>
    <row r="37" ht="14.25" customHeight="1">
      <c r="C37" s="1"/>
    </row>
    <row r="38" ht="14.25" customHeight="1">
      <c r="C38" s="1"/>
    </row>
    <row r="39" ht="14.25" customHeight="1">
      <c r="C39" s="1"/>
    </row>
    <row r="40" ht="14.25" customHeight="1">
      <c r="C40" s="1"/>
    </row>
    <row r="41" ht="14.25" customHeight="1">
      <c r="C41" s="1"/>
    </row>
    <row r="42" ht="14.25" customHeight="1">
      <c r="C42" s="1"/>
    </row>
    <row r="43" ht="14.25" customHeight="1">
      <c r="C43" s="1"/>
    </row>
    <row r="44" ht="14.25" customHeight="1">
      <c r="C44" s="1"/>
    </row>
    <row r="45" ht="14.25" customHeight="1">
      <c r="C45" s="1"/>
    </row>
    <row r="46" ht="14.25" customHeight="1">
      <c r="C46" s="1"/>
    </row>
    <row r="47" ht="14.25" customHeight="1">
      <c r="C47" s="1"/>
    </row>
    <row r="48" ht="14.25" customHeight="1">
      <c r="C48" s="1"/>
    </row>
    <row r="49" ht="14.25" customHeight="1">
      <c r="C49" s="1"/>
    </row>
    <row r="50" ht="14.25" customHeight="1">
      <c r="C50" s="1"/>
    </row>
    <row r="51" ht="14.25" customHeight="1">
      <c r="C51" s="1"/>
    </row>
    <row r="52" ht="14.25" customHeight="1">
      <c r="C52" s="1"/>
    </row>
    <row r="53" ht="14.25" customHeight="1">
      <c r="C53" s="1"/>
    </row>
    <row r="54" ht="14.25" customHeight="1">
      <c r="C54" s="1"/>
    </row>
    <row r="55" ht="14.25" customHeight="1">
      <c r="C55" s="1"/>
    </row>
    <row r="56" ht="14.25" customHeight="1">
      <c r="C56" s="1"/>
    </row>
    <row r="57" ht="14.25" customHeight="1">
      <c r="C57" s="1"/>
    </row>
    <row r="58" ht="14.25" customHeight="1">
      <c r="C58" s="1"/>
    </row>
    <row r="59" ht="14.25" customHeight="1">
      <c r="C59" s="1"/>
    </row>
    <row r="60" ht="14.25" customHeight="1">
      <c r="C60" s="1"/>
    </row>
    <row r="61" ht="14.25" customHeight="1">
      <c r="C61" s="1"/>
    </row>
    <row r="62" ht="14.25" customHeight="1">
      <c r="C62" s="1"/>
    </row>
    <row r="63" ht="14.25" customHeight="1">
      <c r="C63" s="1"/>
    </row>
    <row r="64" ht="14.25" customHeight="1">
      <c r="C64" s="1"/>
    </row>
    <row r="65" ht="14.25" customHeight="1">
      <c r="C65" s="1"/>
    </row>
    <row r="66" ht="14.25" customHeight="1">
      <c r="C66" s="1"/>
    </row>
    <row r="67" ht="14.25" customHeight="1">
      <c r="C67" s="1"/>
    </row>
    <row r="68" ht="14.25" customHeight="1">
      <c r="C68" s="1"/>
    </row>
    <row r="69" ht="14.25" customHeight="1">
      <c r="C69" s="1"/>
    </row>
    <row r="70" ht="14.25" customHeight="1">
      <c r="C70" s="1"/>
    </row>
    <row r="71" ht="14.25" customHeight="1">
      <c r="C71" s="1"/>
    </row>
    <row r="72" ht="14.25" customHeight="1">
      <c r="C72" s="1"/>
    </row>
    <row r="73" ht="14.25" customHeight="1">
      <c r="C73" s="1"/>
    </row>
    <row r="74" ht="14.25" customHeight="1">
      <c r="C74" s="1"/>
    </row>
    <row r="75" ht="14.25" customHeight="1">
      <c r="C75" s="1"/>
    </row>
    <row r="76" ht="14.25" customHeight="1">
      <c r="C76" s="1"/>
    </row>
    <row r="77" ht="14.25" customHeight="1">
      <c r="C77" s="1"/>
    </row>
    <row r="78" ht="14.25" customHeight="1">
      <c r="C78" s="1"/>
    </row>
    <row r="79" ht="14.25" customHeight="1">
      <c r="C79" s="1"/>
    </row>
    <row r="80" ht="14.25" customHeight="1">
      <c r="C80" s="1"/>
    </row>
    <row r="81" ht="14.25" customHeight="1">
      <c r="C81" s="1"/>
    </row>
    <row r="82" ht="14.25" customHeight="1">
      <c r="C82" s="1"/>
    </row>
    <row r="83" ht="14.25" customHeight="1">
      <c r="C83" s="1"/>
    </row>
    <row r="84" ht="14.25" customHeight="1">
      <c r="C84" s="1"/>
    </row>
    <row r="85" ht="14.25" customHeight="1">
      <c r="C85" s="1"/>
    </row>
    <row r="86" ht="14.25" customHeight="1">
      <c r="C86" s="1"/>
    </row>
    <row r="87" ht="14.25" customHeight="1">
      <c r="C87" s="1"/>
    </row>
    <row r="88" ht="14.25" customHeight="1">
      <c r="C88" s="1"/>
    </row>
    <row r="89" ht="14.25" customHeight="1">
      <c r="C89" s="1"/>
    </row>
    <row r="90" ht="14.25" customHeight="1">
      <c r="C90" s="1"/>
    </row>
    <row r="91" ht="14.25" customHeight="1">
      <c r="C91" s="1"/>
    </row>
    <row r="92" ht="14.25" customHeight="1">
      <c r="C92" s="1"/>
    </row>
    <row r="93" ht="14.25" customHeight="1">
      <c r="C93" s="1"/>
    </row>
    <row r="94" ht="14.25" customHeight="1">
      <c r="C94" s="1"/>
    </row>
    <row r="95" ht="14.25" customHeight="1">
      <c r="C95" s="1"/>
    </row>
    <row r="96" ht="14.25" customHeight="1">
      <c r="C96" s="1"/>
    </row>
    <row r="97" ht="14.25" customHeight="1">
      <c r="C97" s="1"/>
    </row>
    <row r="98" ht="14.25" customHeight="1">
      <c r="C98" s="1"/>
    </row>
    <row r="99" ht="14.25" customHeight="1">
      <c r="C99" s="1"/>
    </row>
    <row r="100" ht="14.25" customHeight="1">
      <c r="C100" s="1"/>
    </row>
    <row r="101" ht="14.25" customHeight="1">
      <c r="C101" s="1"/>
    </row>
    <row r="102" ht="14.25" customHeight="1">
      <c r="C102" s="1"/>
    </row>
    <row r="103" ht="14.25" customHeight="1">
      <c r="C103" s="1"/>
    </row>
    <row r="104" ht="14.25" customHeight="1">
      <c r="C104" s="1"/>
    </row>
    <row r="105" ht="14.25" customHeight="1">
      <c r="C105" s="1"/>
    </row>
    <row r="106" ht="14.25" customHeight="1">
      <c r="C106" s="1"/>
    </row>
    <row r="107" ht="14.25" customHeight="1">
      <c r="C107" s="1"/>
    </row>
    <row r="108" ht="14.25" customHeight="1">
      <c r="C108" s="1"/>
    </row>
    <row r="109" ht="14.25" customHeight="1">
      <c r="C109" s="1"/>
    </row>
    <row r="110" ht="14.25" customHeight="1">
      <c r="C110" s="1"/>
    </row>
    <row r="111" ht="14.25" customHeight="1">
      <c r="C111" s="1"/>
    </row>
    <row r="112" ht="14.25" customHeight="1">
      <c r="C112" s="1"/>
    </row>
    <row r="113" ht="14.25" customHeight="1">
      <c r="C113" s="1"/>
    </row>
    <row r="114" ht="14.25" customHeight="1">
      <c r="C114" s="1"/>
    </row>
    <row r="115" ht="14.25" customHeight="1">
      <c r="C115" s="1"/>
    </row>
    <row r="116" ht="14.25" customHeight="1">
      <c r="C116" s="1"/>
    </row>
    <row r="117" ht="14.25" customHeight="1">
      <c r="C117" s="1"/>
    </row>
    <row r="118" ht="14.25" customHeight="1">
      <c r="C118" s="1"/>
    </row>
    <row r="119" ht="14.25" customHeight="1">
      <c r="C119" s="1"/>
    </row>
    <row r="120" ht="14.25" customHeight="1">
      <c r="C120" s="1"/>
    </row>
    <row r="121" ht="14.25" customHeight="1">
      <c r="C121" s="1"/>
    </row>
    <row r="122" ht="14.25" customHeight="1">
      <c r="C122" s="1"/>
    </row>
    <row r="123" ht="14.25" customHeight="1">
      <c r="C123" s="1"/>
    </row>
    <row r="124" ht="14.25" customHeight="1">
      <c r="C124" s="1"/>
    </row>
    <row r="125" ht="14.25" customHeight="1">
      <c r="C125" s="1"/>
    </row>
    <row r="126" ht="14.25" customHeight="1">
      <c r="C126" s="1"/>
    </row>
    <row r="127" ht="14.25" customHeight="1">
      <c r="C127" s="1"/>
    </row>
    <row r="128" ht="14.25" customHeight="1">
      <c r="C128" s="1"/>
    </row>
    <row r="129" ht="14.25" customHeight="1">
      <c r="C129" s="1"/>
    </row>
    <row r="130" ht="14.25" customHeight="1">
      <c r="C130" s="1"/>
    </row>
    <row r="131" ht="14.25" customHeight="1">
      <c r="C131" s="1"/>
    </row>
    <row r="132" ht="14.25" customHeight="1">
      <c r="C132" s="1"/>
    </row>
    <row r="133" ht="14.25" customHeight="1">
      <c r="C133" s="1"/>
    </row>
    <row r="134" ht="14.25" customHeight="1">
      <c r="C134" s="1"/>
    </row>
    <row r="135" ht="14.25" customHeight="1">
      <c r="C135" s="1"/>
    </row>
    <row r="136" ht="14.25" customHeight="1">
      <c r="C136" s="1"/>
    </row>
    <row r="137" ht="14.25" customHeight="1">
      <c r="C137" s="1"/>
    </row>
    <row r="138" ht="14.25" customHeight="1">
      <c r="C138" s="1"/>
    </row>
    <row r="139" ht="14.25" customHeight="1">
      <c r="C139" s="1"/>
    </row>
    <row r="140" ht="14.25" customHeight="1">
      <c r="C140" s="1"/>
    </row>
    <row r="141" ht="14.25" customHeight="1">
      <c r="C141" s="1"/>
    </row>
    <row r="142" ht="14.25" customHeight="1">
      <c r="C142" s="1"/>
    </row>
    <row r="143" ht="14.25" customHeight="1">
      <c r="C143" s="1"/>
    </row>
    <row r="144" ht="14.25" customHeight="1">
      <c r="C144" s="1"/>
    </row>
    <row r="145" ht="14.25" customHeight="1">
      <c r="C145" s="1"/>
    </row>
    <row r="146" ht="14.25" customHeight="1">
      <c r="C146" s="1"/>
    </row>
    <row r="147" ht="14.25" customHeight="1">
      <c r="C147" s="1"/>
    </row>
    <row r="148" ht="14.25" customHeight="1">
      <c r="C148" s="1"/>
    </row>
    <row r="149" ht="14.25" customHeight="1">
      <c r="C149" s="1"/>
    </row>
    <row r="150" ht="14.25" customHeight="1">
      <c r="C150" s="1"/>
    </row>
    <row r="151" ht="14.25" customHeight="1">
      <c r="C151" s="1"/>
    </row>
    <row r="152" ht="14.25" customHeight="1">
      <c r="C152" s="1"/>
    </row>
    <row r="153" ht="14.25" customHeight="1">
      <c r="C153" s="1"/>
    </row>
    <row r="154" ht="14.25" customHeight="1">
      <c r="C154" s="1"/>
    </row>
    <row r="155" ht="14.25" customHeight="1">
      <c r="C155" s="1"/>
    </row>
    <row r="156" ht="14.25" customHeight="1">
      <c r="C156" s="1"/>
    </row>
    <row r="157" ht="14.25" customHeight="1">
      <c r="C157" s="1"/>
    </row>
    <row r="158" ht="14.25" customHeight="1">
      <c r="C158" s="1"/>
    </row>
    <row r="159" ht="14.25" customHeight="1">
      <c r="C159" s="1"/>
    </row>
    <row r="160" ht="14.25" customHeight="1">
      <c r="C160" s="1"/>
    </row>
    <row r="161" ht="14.25" customHeight="1">
      <c r="C161" s="1"/>
    </row>
    <row r="162" ht="14.25" customHeight="1">
      <c r="C162" s="1"/>
    </row>
    <row r="163" ht="14.25" customHeight="1">
      <c r="C163" s="1"/>
    </row>
    <row r="164" ht="14.25" customHeight="1">
      <c r="C164" s="1"/>
    </row>
    <row r="165" ht="14.25" customHeight="1">
      <c r="C165" s="1"/>
    </row>
    <row r="166" ht="14.25" customHeight="1">
      <c r="C166" s="1"/>
    </row>
    <row r="167" ht="14.25" customHeight="1">
      <c r="C167" s="1"/>
    </row>
    <row r="168" ht="14.25" customHeight="1">
      <c r="C168" s="1"/>
    </row>
    <row r="169" ht="14.25" customHeight="1">
      <c r="C169" s="1"/>
    </row>
    <row r="170" ht="14.25" customHeight="1">
      <c r="C170" s="1"/>
    </row>
    <row r="171" ht="14.25" customHeight="1">
      <c r="C171" s="1"/>
    </row>
    <row r="172" ht="14.25" customHeight="1">
      <c r="C172" s="1"/>
    </row>
    <row r="173" ht="14.25" customHeight="1">
      <c r="C173" s="1"/>
    </row>
    <row r="174" ht="14.25" customHeight="1">
      <c r="C174" s="1"/>
    </row>
    <row r="175" ht="14.25" customHeight="1">
      <c r="C175" s="1"/>
    </row>
    <row r="176" ht="14.25" customHeight="1">
      <c r="C176" s="1"/>
    </row>
    <row r="177" ht="14.25" customHeight="1">
      <c r="C177" s="1"/>
    </row>
    <row r="178" ht="14.25" customHeight="1">
      <c r="C178" s="1"/>
    </row>
    <row r="179" ht="14.25" customHeight="1">
      <c r="C179" s="1"/>
    </row>
    <row r="180" ht="14.25" customHeight="1">
      <c r="C180" s="1"/>
    </row>
    <row r="181" ht="14.25" customHeight="1">
      <c r="C181" s="1"/>
    </row>
    <row r="182" ht="14.25" customHeight="1">
      <c r="C182" s="1"/>
    </row>
    <row r="183" ht="14.25" customHeight="1">
      <c r="C183" s="1"/>
    </row>
    <row r="184" ht="14.25" customHeight="1">
      <c r="C184" s="1"/>
    </row>
    <row r="185" ht="14.25" customHeight="1">
      <c r="C185" s="1"/>
    </row>
    <row r="186" ht="14.25" customHeight="1">
      <c r="C186" s="1"/>
    </row>
    <row r="187" ht="14.25" customHeight="1">
      <c r="C187" s="1"/>
    </row>
    <row r="188" ht="14.25" customHeight="1">
      <c r="C188" s="1"/>
    </row>
    <row r="189" ht="14.25" customHeight="1">
      <c r="C189" s="1"/>
    </row>
    <row r="190" ht="14.25" customHeight="1">
      <c r="C190" s="1"/>
    </row>
    <row r="191" ht="14.25" customHeight="1">
      <c r="C191" s="1"/>
    </row>
    <row r="192" ht="14.25" customHeight="1">
      <c r="C192" s="1"/>
    </row>
    <row r="193" ht="14.25" customHeight="1">
      <c r="C193" s="1"/>
    </row>
    <row r="194" ht="14.25" customHeight="1">
      <c r="C194" s="1"/>
    </row>
    <row r="195" ht="14.25" customHeight="1">
      <c r="C195" s="1"/>
    </row>
    <row r="196" ht="14.25" customHeight="1">
      <c r="C196" s="1"/>
    </row>
    <row r="197" ht="14.25" customHeight="1">
      <c r="C197" s="1"/>
    </row>
    <row r="198" ht="14.25" customHeight="1">
      <c r="C198" s="1"/>
    </row>
    <row r="199" ht="14.25" customHeight="1">
      <c r="C199" s="1"/>
    </row>
    <row r="200" ht="14.25" customHeight="1">
      <c r="C200" s="1"/>
    </row>
    <row r="201" ht="14.25" customHeight="1">
      <c r="C201" s="1"/>
    </row>
    <row r="202" ht="14.25" customHeight="1">
      <c r="C202" s="1"/>
    </row>
    <row r="203" ht="14.25" customHeight="1">
      <c r="C203" s="1"/>
    </row>
    <row r="204" ht="14.25" customHeight="1">
      <c r="C204" s="1"/>
    </row>
    <row r="205" ht="14.25" customHeight="1">
      <c r="C205" s="1"/>
    </row>
    <row r="206" ht="14.25" customHeight="1">
      <c r="C206" s="1"/>
    </row>
    <row r="207" ht="14.25" customHeight="1">
      <c r="C207" s="1"/>
    </row>
    <row r="208" ht="14.25" customHeight="1">
      <c r="C208" s="1"/>
    </row>
    <row r="209" ht="14.25" customHeight="1">
      <c r="C209" s="1"/>
    </row>
    <row r="210" ht="14.25" customHeight="1">
      <c r="C210" s="1"/>
    </row>
    <row r="211" ht="14.25" customHeight="1">
      <c r="C211" s="1"/>
    </row>
    <row r="212" ht="14.25" customHeight="1">
      <c r="C212" s="1"/>
    </row>
    <row r="213" ht="14.25" customHeight="1">
      <c r="C213" s="1"/>
    </row>
    <row r="214" ht="14.25" customHeight="1">
      <c r="C214" s="1"/>
    </row>
    <row r="215" ht="14.25" customHeight="1">
      <c r="C215" s="1"/>
    </row>
    <row r="216" ht="14.25" customHeight="1">
      <c r="C216" s="1"/>
    </row>
    <row r="217" ht="14.25" customHeight="1">
      <c r="C217" s="1"/>
    </row>
    <row r="218" ht="14.25" customHeight="1">
      <c r="C218" s="1"/>
    </row>
    <row r="219" ht="14.25" customHeight="1">
      <c r="C219" s="1"/>
    </row>
    <row r="220" ht="14.25" customHeight="1">
      <c r="C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I7:I8"/>
    <mergeCell ref="J7:J8"/>
    <mergeCell ref="C3:K4"/>
    <mergeCell ref="E5:K5"/>
    <mergeCell ref="B7:B8"/>
    <mergeCell ref="E7:E8"/>
    <mergeCell ref="F7:F8"/>
    <mergeCell ref="G7:G8"/>
    <mergeCell ref="K7:K8"/>
    <mergeCell ref="C15:D15"/>
    <mergeCell ref="C16:D16"/>
    <mergeCell ref="C17:D17"/>
    <mergeCell ref="C18:D18"/>
    <mergeCell ref="C19:D19"/>
    <mergeCell ref="C7:D8"/>
    <mergeCell ref="C9:D9"/>
    <mergeCell ref="C10:D10"/>
    <mergeCell ref="C11:D11"/>
    <mergeCell ref="C12:D12"/>
    <mergeCell ref="C13:D13"/>
    <mergeCell ref="C14:D14"/>
  </mergeCells>
  <printOptions horizontalCentered="1" verticalCentered="1"/>
  <pageMargins bottom="0.7480314960629921" footer="0.0" header="0.0" left="0.47" right="0.7086614173228347" top="0.7480314960629921"/>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9.57"/>
    <col customWidth="1" min="3" max="3" width="16.14"/>
    <col customWidth="1" min="4" max="24" width="10.71"/>
  </cols>
  <sheetData>
    <row r="1" ht="51.0" customHeight="1">
      <c r="A1" s="26"/>
      <c r="B1" s="27" t="s">
        <v>1</v>
      </c>
      <c r="C1" s="28" t="s">
        <v>2</v>
      </c>
      <c r="E1" s="26"/>
      <c r="F1" s="26"/>
      <c r="G1" s="26"/>
      <c r="H1" s="26"/>
      <c r="I1" s="26"/>
      <c r="J1" s="26"/>
      <c r="K1" s="26"/>
      <c r="L1" s="26"/>
      <c r="M1" s="26"/>
      <c r="N1" s="26"/>
      <c r="O1" s="26"/>
      <c r="P1" s="26"/>
      <c r="Q1" s="26"/>
      <c r="R1" s="26"/>
      <c r="S1" s="26"/>
      <c r="T1" s="26"/>
      <c r="U1" s="26"/>
      <c r="V1" s="26"/>
      <c r="W1" s="26"/>
      <c r="X1" s="26"/>
      <c r="Y1" s="26"/>
      <c r="Z1" s="26"/>
    </row>
    <row r="2" ht="52.5" customHeight="1">
      <c r="B2" s="29" t="s">
        <v>55</v>
      </c>
      <c r="C2" s="30">
        <v>46126.0</v>
      </c>
    </row>
    <row r="3" ht="38.25" customHeight="1">
      <c r="B3" s="29" t="s">
        <v>56</v>
      </c>
      <c r="C3" s="31" t="s">
        <v>57</v>
      </c>
    </row>
    <row r="4" ht="41.25" customHeight="1">
      <c r="B4" s="29" t="s">
        <v>58</v>
      </c>
      <c r="C4" s="31" t="s">
        <v>59</v>
      </c>
    </row>
    <row r="5" ht="14.25" customHeight="1"/>
    <row r="6" ht="18.0" customHeight="1">
      <c r="A6" s="32" t="s">
        <v>60</v>
      </c>
    </row>
    <row r="7" ht="15.0" customHeight="1">
      <c r="A7" s="33" t="s">
        <v>61</v>
      </c>
      <c r="B7" s="34" t="s">
        <v>62</v>
      </c>
      <c r="C7" s="34" t="s">
        <v>63</v>
      </c>
      <c r="D7" s="35" t="s">
        <v>64</v>
      </c>
    </row>
    <row r="8" ht="30.75" customHeight="1">
      <c r="A8" s="36">
        <v>1.0</v>
      </c>
      <c r="B8" s="37" t="s">
        <v>65</v>
      </c>
      <c r="C8" s="38" t="s">
        <v>66</v>
      </c>
      <c r="D8" s="39"/>
    </row>
    <row r="9" ht="26.25" customHeight="1">
      <c r="A9" s="36">
        <v>2.0</v>
      </c>
      <c r="B9" s="37" t="s">
        <v>67</v>
      </c>
      <c r="C9" s="38" t="s">
        <v>66</v>
      </c>
      <c r="D9" s="39"/>
    </row>
    <row r="10" ht="30.0" customHeight="1">
      <c r="A10" s="36">
        <v>3.0</v>
      </c>
      <c r="B10" s="37" t="s">
        <v>68</v>
      </c>
      <c r="C10" s="38" t="s">
        <v>66</v>
      </c>
      <c r="D10" s="39"/>
    </row>
    <row r="11" ht="28.5" customHeight="1">
      <c r="A11" s="36">
        <v>4.0</v>
      </c>
      <c r="B11" s="37" t="s">
        <v>69</v>
      </c>
      <c r="C11" s="38" t="s">
        <v>66</v>
      </c>
      <c r="D11" s="39"/>
    </row>
    <row r="12" ht="36.75" customHeight="1">
      <c r="A12" s="36">
        <v>5.0</v>
      </c>
      <c r="B12" s="37" t="s">
        <v>70</v>
      </c>
      <c r="C12" s="38" t="s">
        <v>66</v>
      </c>
      <c r="D12" s="39"/>
    </row>
    <row r="13" ht="26.25" customHeight="1">
      <c r="A13" s="36">
        <v>6.0</v>
      </c>
      <c r="B13" s="37" t="s">
        <v>71</v>
      </c>
      <c r="C13" s="38" t="s">
        <v>66</v>
      </c>
      <c r="D13" s="39"/>
    </row>
    <row r="14" ht="27.0" customHeight="1">
      <c r="A14" s="36">
        <v>7.0</v>
      </c>
      <c r="B14" s="37" t="s">
        <v>72</v>
      </c>
      <c r="C14" s="38" t="s">
        <v>66</v>
      </c>
      <c r="D14" s="39"/>
    </row>
    <row r="15" ht="29.25" customHeight="1">
      <c r="A15" s="36">
        <v>8.0</v>
      </c>
      <c r="B15" s="37" t="s">
        <v>73</v>
      </c>
      <c r="C15" s="38" t="s">
        <v>66</v>
      </c>
      <c r="D15" s="39"/>
    </row>
    <row r="16" ht="57.75" customHeight="1">
      <c r="A16" s="40">
        <v>9.0</v>
      </c>
      <c r="B16" s="41" t="s">
        <v>74</v>
      </c>
      <c r="C16" s="42"/>
      <c r="D16" s="42" t="s">
        <v>66</v>
      </c>
    </row>
    <row r="17" ht="14.25" customHeight="1">
      <c r="A17" s="43" t="s">
        <v>75</v>
      </c>
      <c r="C17" s="19">
        <f>COUNTA('MODELO LISTA DE COMPROBACION - '!$C$8:$C$16)</f>
        <v>8</v>
      </c>
      <c r="D17" s="19">
        <f>COUNTA('MODELO LISTA DE COMPROBACION - '!$D$8:$D$16)</f>
        <v>1</v>
      </c>
    </row>
    <row r="18" ht="14.25" customHeight="1">
      <c r="A18" s="43" t="s">
        <v>76</v>
      </c>
      <c r="C18" s="44">
        <f t="shared" ref="C18:D18" si="1">C17/9</f>
        <v>0.8888888889</v>
      </c>
      <c r="D18" s="44">
        <f t="shared" si="1"/>
        <v>0.1111111111</v>
      </c>
    </row>
    <row r="19" ht="14.25" customHeight="1">
      <c r="A19" s="43"/>
      <c r="B19" s="43"/>
      <c r="C19" s="44"/>
      <c r="D19" s="19"/>
    </row>
    <row r="20" ht="24.75" customHeight="1">
      <c r="A20" s="45" t="s">
        <v>77</v>
      </c>
      <c r="B20" s="46"/>
      <c r="C20" s="46"/>
      <c r="D20" s="46"/>
    </row>
    <row r="21" ht="21.75" customHeight="1">
      <c r="A21" s="47" t="s">
        <v>61</v>
      </c>
      <c r="B21" s="48" t="s">
        <v>62</v>
      </c>
      <c r="C21" s="49" t="s">
        <v>63</v>
      </c>
      <c r="D21" s="50" t="s">
        <v>64</v>
      </c>
    </row>
    <row r="22" ht="32.25" customHeight="1">
      <c r="A22" s="36">
        <v>1.0</v>
      </c>
      <c r="B22" s="37" t="s">
        <v>78</v>
      </c>
      <c r="C22" s="42" t="s">
        <v>66</v>
      </c>
      <c r="D22" s="39"/>
    </row>
    <row r="23" ht="28.5" customHeight="1">
      <c r="A23" s="36">
        <v>2.0</v>
      </c>
      <c r="B23" s="37" t="s">
        <v>79</v>
      </c>
      <c r="C23" s="42" t="s">
        <v>66</v>
      </c>
      <c r="D23" s="39"/>
    </row>
    <row r="24" ht="21.0" customHeight="1">
      <c r="A24" s="36">
        <v>3.0</v>
      </c>
      <c r="B24" s="37" t="s">
        <v>80</v>
      </c>
      <c r="C24" s="42" t="s">
        <v>66</v>
      </c>
      <c r="D24" s="39"/>
    </row>
    <row r="25" ht="32.25" customHeight="1">
      <c r="A25" s="36">
        <v>4.0</v>
      </c>
      <c r="B25" s="37" t="s">
        <v>81</v>
      </c>
      <c r="C25" s="42" t="s">
        <v>66</v>
      </c>
      <c r="D25" s="39"/>
    </row>
    <row r="26" ht="21.0" customHeight="1">
      <c r="A26" s="40">
        <v>5.0</v>
      </c>
      <c r="B26" s="41" t="s">
        <v>82</v>
      </c>
      <c r="C26" s="42" t="s">
        <v>66</v>
      </c>
      <c r="D26" s="51"/>
    </row>
    <row r="27" ht="14.25" customHeight="1">
      <c r="A27" s="43" t="s">
        <v>75</v>
      </c>
      <c r="C27" s="19">
        <f>COUNTA('MODELO LISTA DE COMPROBACION - '!$C$22:$C$26)</f>
        <v>5</v>
      </c>
      <c r="D27" s="19">
        <f>COUNTA('MODELO LISTA DE COMPROBACION - '!$D$22:$D$26)</f>
        <v>0</v>
      </c>
    </row>
    <row r="28" ht="14.25" customHeight="1">
      <c r="A28" s="43" t="s">
        <v>76</v>
      </c>
      <c r="C28" s="44">
        <f t="shared" ref="C28:D28" si="2">C27/5</f>
        <v>1</v>
      </c>
      <c r="D28" s="44">
        <f t="shared" si="2"/>
        <v>0</v>
      </c>
    </row>
    <row r="29" ht="14.25" customHeight="1">
      <c r="A29" s="43"/>
      <c r="B29" s="43"/>
      <c r="C29" s="44"/>
      <c r="D29" s="19"/>
    </row>
    <row r="30" ht="20.25" customHeight="1">
      <c r="A30" s="32" t="s">
        <v>83</v>
      </c>
    </row>
    <row r="31" ht="20.25" customHeight="1">
      <c r="A31" s="47" t="s">
        <v>61</v>
      </c>
      <c r="B31" s="48" t="s">
        <v>62</v>
      </c>
      <c r="C31" s="49" t="s">
        <v>63</v>
      </c>
      <c r="D31" s="50" t="s">
        <v>64</v>
      </c>
    </row>
    <row r="32" ht="30.75" customHeight="1">
      <c r="A32" s="36">
        <v>1.0</v>
      </c>
      <c r="B32" s="37" t="s">
        <v>84</v>
      </c>
      <c r="C32" s="42" t="s">
        <v>66</v>
      </c>
      <c r="D32" s="42"/>
    </row>
    <row r="33" ht="30.75" customHeight="1">
      <c r="A33" s="36">
        <v>2.0</v>
      </c>
      <c r="B33" s="37" t="s">
        <v>85</v>
      </c>
      <c r="C33" s="42" t="s">
        <v>66</v>
      </c>
      <c r="D33" s="42"/>
    </row>
    <row r="34" ht="30.0" customHeight="1">
      <c r="A34" s="40">
        <v>3.0</v>
      </c>
      <c r="B34" s="41" t="s">
        <v>86</v>
      </c>
      <c r="C34" s="42" t="s">
        <v>66</v>
      </c>
      <c r="D34" s="42"/>
    </row>
    <row r="35" ht="14.25" customHeight="1">
      <c r="A35" s="43" t="s">
        <v>75</v>
      </c>
      <c r="C35" s="19">
        <f>COUNTA('MODELO LISTA DE COMPROBACION - '!$C$32:$C$34)</f>
        <v>3</v>
      </c>
      <c r="D35" s="19">
        <f>COUNTA('MODELO LISTA DE COMPROBACION - '!$D$32:$D$34)</f>
        <v>0</v>
      </c>
    </row>
    <row r="36" ht="14.25" customHeight="1">
      <c r="A36" s="43" t="s">
        <v>76</v>
      </c>
      <c r="C36" s="44">
        <f t="shared" ref="C36:D36" si="3">C35/3</f>
        <v>1</v>
      </c>
      <c r="D36" s="44">
        <f t="shared" si="3"/>
        <v>0</v>
      </c>
    </row>
    <row r="37" ht="14.25" customHeight="1"/>
    <row r="38" ht="14.25" customHeight="1"/>
    <row r="39" ht="14.25" customHeight="1"/>
    <row r="40" ht="14.25" customHeight="1">
      <c r="A40" s="52" t="s">
        <v>87</v>
      </c>
    </row>
    <row r="41" ht="30.0" customHeight="1">
      <c r="B41" s="26" t="s">
        <v>88</v>
      </c>
      <c r="C41" s="19">
        <v>89.0</v>
      </c>
    </row>
    <row r="42" ht="30.0" customHeight="1">
      <c r="B42" s="26" t="s">
        <v>77</v>
      </c>
      <c r="C42" s="19">
        <v>100.0</v>
      </c>
    </row>
    <row r="43" ht="30.0" customHeight="1">
      <c r="B43" s="26" t="s">
        <v>83</v>
      </c>
      <c r="C43" s="19">
        <v>100.0</v>
      </c>
    </row>
    <row r="44" ht="14.25" customHeight="1">
      <c r="C44" s="19"/>
    </row>
    <row r="45" ht="14.25" customHeight="1">
      <c r="C45" s="19"/>
    </row>
    <row r="46" ht="14.25" customHeight="1">
      <c r="C46" s="19"/>
    </row>
    <row r="47" ht="38.25" customHeight="1">
      <c r="B47" s="53" t="s">
        <v>89</v>
      </c>
      <c r="C47" s="31"/>
    </row>
    <row r="48" ht="41.25" customHeight="1">
      <c r="B48" s="29" t="s">
        <v>58</v>
      </c>
      <c r="C48" s="31" t="s">
        <v>90</v>
      </c>
    </row>
    <row r="49" ht="14.25" customHeight="1"/>
    <row r="50" ht="18.0" customHeight="1">
      <c r="A50" s="32" t="s">
        <v>60</v>
      </c>
    </row>
    <row r="51" ht="15.0" customHeight="1">
      <c r="A51" s="33" t="s">
        <v>61</v>
      </c>
      <c r="B51" s="34" t="s">
        <v>62</v>
      </c>
      <c r="C51" s="34" t="s">
        <v>63</v>
      </c>
      <c r="D51" s="35" t="s">
        <v>64</v>
      </c>
    </row>
    <row r="52" ht="30.75" customHeight="1">
      <c r="A52" s="36">
        <v>1.0</v>
      </c>
      <c r="B52" s="37" t="s">
        <v>65</v>
      </c>
      <c r="C52" s="38" t="s">
        <v>66</v>
      </c>
      <c r="D52" s="39"/>
    </row>
    <row r="53" ht="26.25" customHeight="1">
      <c r="A53" s="36">
        <v>2.0</v>
      </c>
      <c r="B53" s="37" t="s">
        <v>67</v>
      </c>
      <c r="D53" s="38" t="s">
        <v>66</v>
      </c>
    </row>
    <row r="54" ht="30.0" customHeight="1">
      <c r="A54" s="36">
        <v>3.0</v>
      </c>
      <c r="B54" s="37" t="s">
        <v>68</v>
      </c>
      <c r="D54" s="38" t="s">
        <v>66</v>
      </c>
    </row>
    <row r="55" ht="28.5" customHeight="1">
      <c r="A55" s="36">
        <v>4.0</v>
      </c>
      <c r="B55" s="37" t="s">
        <v>69</v>
      </c>
      <c r="C55" s="38" t="s">
        <v>66</v>
      </c>
      <c r="D55" s="39"/>
    </row>
    <row r="56" ht="36.75" customHeight="1">
      <c r="A56" s="36">
        <v>5.0</v>
      </c>
      <c r="B56" s="37" t="s">
        <v>70</v>
      </c>
      <c r="C56" s="38" t="s">
        <v>66</v>
      </c>
      <c r="D56" s="39"/>
    </row>
    <row r="57" ht="26.25" customHeight="1">
      <c r="A57" s="36">
        <v>6.0</v>
      </c>
      <c r="B57" s="37" t="s">
        <v>71</v>
      </c>
      <c r="C57" s="38" t="s">
        <v>66</v>
      </c>
      <c r="D57" s="39"/>
    </row>
    <row r="58" ht="27.0" customHeight="1">
      <c r="A58" s="36">
        <v>7.0</v>
      </c>
      <c r="B58" s="37" t="s">
        <v>72</v>
      </c>
      <c r="D58" s="38" t="s">
        <v>66</v>
      </c>
    </row>
    <row r="59" ht="29.25" customHeight="1">
      <c r="A59" s="36">
        <v>8.0</v>
      </c>
      <c r="B59" s="37" t="s">
        <v>73</v>
      </c>
      <c r="C59" s="38" t="s">
        <v>66</v>
      </c>
      <c r="D59" s="39"/>
    </row>
    <row r="60" ht="57.75" customHeight="1">
      <c r="A60" s="40">
        <v>9.0</v>
      </c>
      <c r="B60" s="41" t="s">
        <v>74</v>
      </c>
      <c r="C60" s="42" t="s">
        <v>66</v>
      </c>
    </row>
    <row r="61" ht="14.25" customHeight="1">
      <c r="A61" s="43" t="s">
        <v>75</v>
      </c>
      <c r="C61" s="54">
        <v>6.0</v>
      </c>
      <c r="D61" s="54">
        <v>3.0</v>
      </c>
    </row>
    <row r="62" ht="14.25" customHeight="1">
      <c r="A62" s="43" t="s">
        <v>76</v>
      </c>
      <c r="C62" s="44">
        <f t="shared" ref="C62:D62" si="4">C61/9</f>
        <v>0.6666666667</v>
      </c>
      <c r="D62" s="44">
        <f t="shared" si="4"/>
        <v>0.3333333333</v>
      </c>
    </row>
    <row r="63" ht="14.25" customHeight="1">
      <c r="A63" s="43"/>
      <c r="B63" s="43"/>
      <c r="C63" s="44"/>
      <c r="D63" s="19"/>
    </row>
    <row r="64" ht="24.75" customHeight="1">
      <c r="A64" s="45" t="s">
        <v>77</v>
      </c>
      <c r="B64" s="46"/>
      <c r="C64" s="46"/>
      <c r="D64" s="46"/>
    </row>
    <row r="65" ht="21.75" customHeight="1">
      <c r="A65" s="47" t="s">
        <v>61</v>
      </c>
      <c r="B65" s="48" t="s">
        <v>62</v>
      </c>
      <c r="C65" s="49" t="s">
        <v>63</v>
      </c>
      <c r="D65" s="50" t="s">
        <v>64</v>
      </c>
    </row>
    <row r="66" ht="32.25" customHeight="1">
      <c r="A66" s="36">
        <v>1.0</v>
      </c>
      <c r="B66" s="37" t="s">
        <v>78</v>
      </c>
      <c r="C66" s="42" t="s">
        <v>66</v>
      </c>
      <c r="D66" s="39"/>
    </row>
    <row r="67" ht="28.5" customHeight="1">
      <c r="A67" s="36">
        <v>2.0</v>
      </c>
      <c r="B67" s="37" t="s">
        <v>79</v>
      </c>
      <c r="C67" s="42" t="s">
        <v>66</v>
      </c>
      <c r="D67" s="39"/>
    </row>
    <row r="68" ht="21.0" customHeight="1">
      <c r="A68" s="36">
        <v>3.0</v>
      </c>
      <c r="B68" s="37" t="s">
        <v>80</v>
      </c>
      <c r="C68" s="42" t="s">
        <v>66</v>
      </c>
      <c r="D68" s="39"/>
    </row>
    <row r="69" ht="32.25" customHeight="1">
      <c r="A69" s="36">
        <v>4.0</v>
      </c>
      <c r="B69" s="37" t="s">
        <v>81</v>
      </c>
      <c r="C69" s="42" t="s">
        <v>66</v>
      </c>
      <c r="D69" s="39"/>
    </row>
    <row r="70" ht="21.0" customHeight="1">
      <c r="A70" s="40">
        <v>5.0</v>
      </c>
      <c r="B70" s="41" t="s">
        <v>82</v>
      </c>
      <c r="C70" s="42" t="s">
        <v>66</v>
      </c>
      <c r="D70" s="51"/>
    </row>
    <row r="71" ht="14.25" customHeight="1">
      <c r="A71" s="43" t="s">
        <v>75</v>
      </c>
      <c r="C71" s="19">
        <f>COUNTA('MODELO LISTA DE COMPROBACION - '!$C$22:$C$26)</f>
        <v>5</v>
      </c>
      <c r="D71" s="19">
        <f>COUNTA('MODELO LISTA DE COMPROBACION - '!$D$22:$D$26)</f>
        <v>0</v>
      </c>
    </row>
    <row r="72" ht="14.25" customHeight="1">
      <c r="A72" s="43" t="s">
        <v>76</v>
      </c>
      <c r="C72" s="44">
        <f t="shared" ref="C72:D72" si="5">C71/5</f>
        <v>1</v>
      </c>
      <c r="D72" s="44">
        <f t="shared" si="5"/>
        <v>0</v>
      </c>
    </row>
    <row r="73" ht="14.25" customHeight="1">
      <c r="A73" s="43"/>
      <c r="B73" s="43"/>
      <c r="C73" s="44"/>
      <c r="D73" s="19"/>
    </row>
    <row r="74" ht="20.25" customHeight="1">
      <c r="A74" s="32" t="s">
        <v>83</v>
      </c>
    </row>
    <row r="75" ht="20.25" customHeight="1">
      <c r="A75" s="47" t="s">
        <v>61</v>
      </c>
      <c r="B75" s="48" t="s">
        <v>62</v>
      </c>
      <c r="C75" s="49" t="s">
        <v>63</v>
      </c>
      <c r="D75" s="50" t="s">
        <v>64</v>
      </c>
    </row>
    <row r="76" ht="30.75" customHeight="1">
      <c r="A76" s="36">
        <v>1.0</v>
      </c>
      <c r="B76" s="37" t="s">
        <v>84</v>
      </c>
      <c r="C76" s="42" t="s">
        <v>66</v>
      </c>
      <c r="D76" s="42"/>
    </row>
    <row r="77" ht="30.75" customHeight="1">
      <c r="A77" s="36">
        <v>2.0</v>
      </c>
      <c r="B77" s="37" t="s">
        <v>85</v>
      </c>
      <c r="C77" s="42" t="s">
        <v>66</v>
      </c>
      <c r="D77" s="42"/>
    </row>
    <row r="78" ht="30.0" customHeight="1">
      <c r="A78" s="40">
        <v>3.0</v>
      </c>
      <c r="B78" s="41" t="s">
        <v>86</v>
      </c>
      <c r="C78" s="42" t="s">
        <v>66</v>
      </c>
      <c r="D78" s="42"/>
    </row>
    <row r="79" ht="14.25" customHeight="1">
      <c r="A79" s="43" t="s">
        <v>75</v>
      </c>
      <c r="C79" s="19">
        <f>COUNTA('MODELO LISTA DE COMPROBACION - '!$C$32:$C$34)</f>
        <v>3</v>
      </c>
      <c r="D79" s="19">
        <f>COUNTA('MODELO LISTA DE COMPROBACION - '!$D$32:$D$34)</f>
        <v>0</v>
      </c>
    </row>
    <row r="80" ht="14.25" customHeight="1">
      <c r="A80" s="43" t="s">
        <v>76</v>
      </c>
      <c r="C80" s="44">
        <f t="shared" ref="C80:D80" si="6">C79/3</f>
        <v>1</v>
      </c>
      <c r="D80" s="44">
        <f t="shared" si="6"/>
        <v>0</v>
      </c>
    </row>
    <row r="81" ht="14.25" customHeight="1"/>
    <row r="82" ht="14.25" customHeight="1"/>
    <row r="83" ht="14.25" customHeight="1"/>
    <row r="84" ht="14.25" customHeight="1">
      <c r="A84" s="52" t="s">
        <v>87</v>
      </c>
    </row>
    <row r="85" ht="30.0" customHeight="1">
      <c r="B85" s="26" t="s">
        <v>88</v>
      </c>
      <c r="C85" s="54">
        <v>67.0</v>
      </c>
    </row>
    <row r="86" ht="30.0" customHeight="1">
      <c r="B86" s="26" t="s">
        <v>77</v>
      </c>
      <c r="C86" s="19">
        <v>100.0</v>
      </c>
    </row>
    <row r="87" ht="30.0" customHeight="1">
      <c r="B87" s="26" t="s">
        <v>83</v>
      </c>
      <c r="C87" s="19">
        <v>100.0</v>
      </c>
    </row>
    <row r="88" ht="14.25" customHeight="1">
      <c r="C88" s="19"/>
    </row>
    <row r="89" ht="14.25" customHeight="1">
      <c r="C89" s="19"/>
    </row>
    <row r="90" ht="14.25" customHeight="1"/>
    <row r="91" ht="14.25" customHeight="1">
      <c r="A91" s="55"/>
      <c r="B91" s="56" t="s">
        <v>56</v>
      </c>
      <c r="C91" s="57" t="s">
        <v>91</v>
      </c>
      <c r="E91" s="55"/>
      <c r="F91" s="55"/>
      <c r="G91" s="55"/>
      <c r="H91" s="55"/>
      <c r="I91" s="55"/>
      <c r="J91" s="55"/>
      <c r="K91" s="55"/>
      <c r="L91" s="55"/>
    </row>
    <row r="92" ht="14.25" customHeight="1">
      <c r="A92" s="55"/>
      <c r="B92" s="56" t="s">
        <v>58</v>
      </c>
      <c r="C92" s="58" t="s">
        <v>92</v>
      </c>
      <c r="E92" s="55"/>
      <c r="F92" s="55"/>
      <c r="G92" s="55"/>
      <c r="H92" s="55"/>
      <c r="I92" s="55"/>
      <c r="J92" s="55"/>
      <c r="K92" s="55"/>
      <c r="L92" s="55"/>
    </row>
    <row r="93" ht="14.25" customHeight="1">
      <c r="A93" s="55"/>
      <c r="B93" s="55"/>
      <c r="C93" s="55"/>
      <c r="D93" s="55"/>
      <c r="E93" s="55"/>
      <c r="F93" s="55"/>
      <c r="G93" s="55"/>
      <c r="H93" s="55"/>
      <c r="I93" s="55"/>
      <c r="J93" s="55"/>
      <c r="K93" s="55"/>
      <c r="L93" s="55"/>
    </row>
    <row r="94" ht="23.25" customHeight="1">
      <c r="A94" s="59" t="s">
        <v>60</v>
      </c>
      <c r="E94" s="55"/>
      <c r="F94" s="55"/>
      <c r="G94" s="55"/>
      <c r="H94" s="55"/>
      <c r="I94" s="55"/>
      <c r="J94" s="55"/>
      <c r="K94" s="55"/>
      <c r="L94" s="55"/>
    </row>
    <row r="95" ht="14.25" customHeight="1">
      <c r="A95" s="60" t="s">
        <v>61</v>
      </c>
      <c r="B95" s="61" t="s">
        <v>62</v>
      </c>
      <c r="C95" s="61" t="s">
        <v>63</v>
      </c>
      <c r="D95" s="62" t="s">
        <v>64</v>
      </c>
      <c r="E95" s="55"/>
      <c r="F95" s="55"/>
      <c r="G95" s="55"/>
      <c r="H95" s="55"/>
      <c r="I95" s="55"/>
      <c r="J95" s="55"/>
      <c r="K95" s="55"/>
      <c r="L95" s="55"/>
    </row>
    <row r="96" ht="35.25" customHeight="1">
      <c r="A96" s="63">
        <v>1.0</v>
      </c>
      <c r="B96" s="64" t="s">
        <v>65</v>
      </c>
      <c r="C96" s="65" t="s">
        <v>66</v>
      </c>
      <c r="D96" s="66"/>
      <c r="E96" s="55"/>
      <c r="F96" s="55"/>
      <c r="G96" s="55"/>
      <c r="H96" s="55"/>
      <c r="I96" s="55"/>
      <c r="J96" s="55"/>
      <c r="K96" s="55"/>
      <c r="L96" s="55"/>
    </row>
    <row r="97" ht="29.25" customHeight="1">
      <c r="A97" s="67">
        <v>2.0</v>
      </c>
      <c r="B97" s="68" t="s">
        <v>67</v>
      </c>
      <c r="C97" s="69"/>
      <c r="D97" s="70" t="s">
        <v>66</v>
      </c>
      <c r="E97" s="55"/>
      <c r="F97" s="55"/>
      <c r="G97" s="55"/>
      <c r="H97" s="55"/>
      <c r="I97" s="55"/>
      <c r="J97" s="55"/>
      <c r="K97" s="55"/>
      <c r="L97" s="55"/>
    </row>
    <row r="98" ht="54.0" customHeight="1">
      <c r="A98" s="63">
        <v>3.0</v>
      </c>
      <c r="B98" s="64" t="s">
        <v>68</v>
      </c>
      <c r="C98" s="71"/>
      <c r="D98" s="65" t="s">
        <v>66</v>
      </c>
      <c r="E98" s="55"/>
      <c r="F98" s="55"/>
      <c r="G98" s="55"/>
      <c r="H98" s="55"/>
      <c r="I98" s="55"/>
      <c r="J98" s="55"/>
      <c r="K98" s="55"/>
      <c r="L98" s="55"/>
    </row>
    <row r="99" ht="28.5" customHeight="1">
      <c r="A99" s="67">
        <v>4.0</v>
      </c>
      <c r="B99" s="68" t="s">
        <v>69</v>
      </c>
      <c r="C99" s="70" t="s">
        <v>66</v>
      </c>
      <c r="D99" s="72"/>
      <c r="E99" s="55"/>
      <c r="F99" s="55"/>
      <c r="G99" s="55"/>
      <c r="H99" s="55"/>
      <c r="I99" s="55"/>
      <c r="J99" s="55"/>
      <c r="K99" s="55"/>
      <c r="L99" s="55"/>
    </row>
    <row r="100" ht="26.25" customHeight="1">
      <c r="A100" s="63">
        <v>5.0</v>
      </c>
      <c r="B100" s="64" t="s">
        <v>70</v>
      </c>
      <c r="C100" s="65" t="s">
        <v>66</v>
      </c>
      <c r="D100" s="71"/>
      <c r="E100" s="55"/>
      <c r="F100" s="55"/>
      <c r="G100" s="55"/>
      <c r="H100" s="55"/>
      <c r="I100" s="55"/>
      <c r="J100" s="55"/>
      <c r="K100" s="55"/>
      <c r="L100" s="55"/>
    </row>
    <row r="101" ht="28.5" customHeight="1">
      <c r="A101" s="67">
        <v>6.0</v>
      </c>
      <c r="B101" s="68" t="s">
        <v>71</v>
      </c>
      <c r="C101" s="70" t="s">
        <v>66</v>
      </c>
      <c r="D101" s="72"/>
      <c r="E101" s="55"/>
      <c r="F101" s="55"/>
      <c r="G101" s="55"/>
      <c r="H101" s="55"/>
      <c r="I101" s="55"/>
      <c r="J101" s="55"/>
      <c r="K101" s="55"/>
      <c r="L101" s="55"/>
    </row>
    <row r="102" ht="30.75" customHeight="1">
      <c r="A102" s="63">
        <v>7.0</v>
      </c>
      <c r="B102" s="64" t="s">
        <v>72</v>
      </c>
      <c r="C102" s="71"/>
      <c r="D102" s="65" t="s">
        <v>66</v>
      </c>
      <c r="E102" s="55"/>
      <c r="F102" s="55"/>
      <c r="G102" s="55"/>
      <c r="H102" s="55"/>
      <c r="I102" s="55"/>
      <c r="J102" s="55"/>
      <c r="K102" s="55"/>
      <c r="L102" s="55"/>
    </row>
    <row r="103" ht="30.75" customHeight="1">
      <c r="A103" s="67">
        <v>8.0</v>
      </c>
      <c r="B103" s="68" t="s">
        <v>73</v>
      </c>
      <c r="C103" s="70" t="s">
        <v>66</v>
      </c>
      <c r="D103" s="72"/>
      <c r="E103" s="55"/>
      <c r="F103" s="55"/>
      <c r="G103" s="55"/>
      <c r="H103" s="55"/>
      <c r="I103" s="55"/>
      <c r="J103" s="55"/>
      <c r="K103" s="55"/>
      <c r="L103" s="55"/>
    </row>
    <row r="104" ht="54.0" customHeight="1">
      <c r="A104" s="73">
        <v>9.0</v>
      </c>
      <c r="B104" s="74" t="s">
        <v>74</v>
      </c>
      <c r="C104" s="65" t="s">
        <v>66</v>
      </c>
      <c r="D104" s="69"/>
      <c r="E104" s="55"/>
      <c r="F104" s="55"/>
      <c r="G104" s="55"/>
      <c r="H104" s="55"/>
      <c r="I104" s="55"/>
      <c r="J104" s="55"/>
      <c r="K104" s="55"/>
      <c r="L104" s="55"/>
    </row>
    <row r="105" ht="14.25" customHeight="1">
      <c r="A105" s="56" t="s">
        <v>75</v>
      </c>
      <c r="C105" s="75">
        <v>6.0</v>
      </c>
      <c r="D105" s="75">
        <v>3.0</v>
      </c>
      <c r="E105" s="55"/>
      <c r="F105" s="55"/>
      <c r="G105" s="55"/>
      <c r="H105" s="55"/>
      <c r="I105" s="55"/>
      <c r="J105" s="55"/>
      <c r="K105" s="55"/>
      <c r="L105" s="55"/>
    </row>
    <row r="106" ht="14.25" customHeight="1">
      <c r="A106" s="56" t="s">
        <v>76</v>
      </c>
      <c r="C106" s="76">
        <f t="shared" ref="C106:D106" si="7">C105/9</f>
        <v>0.6666666667</v>
      </c>
      <c r="D106" s="76">
        <f t="shared" si="7"/>
        <v>0.3333333333</v>
      </c>
      <c r="E106" s="55"/>
      <c r="F106" s="55"/>
      <c r="G106" s="55"/>
      <c r="H106" s="55"/>
      <c r="I106" s="55"/>
      <c r="J106" s="55"/>
      <c r="K106" s="55"/>
      <c r="L106" s="55"/>
    </row>
    <row r="107" ht="14.25" customHeight="1">
      <c r="A107" s="55"/>
      <c r="B107" s="55"/>
      <c r="C107" s="77"/>
      <c r="D107" s="55"/>
      <c r="E107" s="55"/>
      <c r="F107" s="55"/>
      <c r="G107" s="55"/>
      <c r="H107" s="55"/>
      <c r="I107" s="55"/>
      <c r="J107" s="55"/>
      <c r="K107" s="55"/>
      <c r="L107" s="55"/>
    </row>
    <row r="108" ht="36.0" customHeight="1">
      <c r="A108" s="78" t="s">
        <v>77</v>
      </c>
      <c r="B108" s="46"/>
      <c r="C108" s="46"/>
      <c r="D108" s="46"/>
      <c r="E108" s="55"/>
      <c r="F108" s="55"/>
      <c r="G108" s="55"/>
      <c r="H108" s="55"/>
      <c r="I108" s="55"/>
      <c r="J108" s="55"/>
      <c r="K108" s="55"/>
      <c r="L108" s="55"/>
    </row>
    <row r="109" ht="14.25" customHeight="1">
      <c r="A109" s="79" t="s">
        <v>61</v>
      </c>
      <c r="B109" s="80" t="s">
        <v>62</v>
      </c>
      <c r="C109" s="81" t="s">
        <v>63</v>
      </c>
      <c r="D109" s="82" t="s">
        <v>64</v>
      </c>
      <c r="E109" s="55"/>
      <c r="F109" s="55"/>
      <c r="G109" s="55"/>
      <c r="H109" s="55"/>
      <c r="I109" s="55"/>
      <c r="J109" s="55"/>
      <c r="K109" s="55"/>
      <c r="L109" s="55"/>
    </row>
    <row r="110" ht="32.25" customHeight="1">
      <c r="A110" s="83">
        <v>1.0</v>
      </c>
      <c r="B110" s="84" t="s">
        <v>78</v>
      </c>
      <c r="C110" s="85" t="s">
        <v>66</v>
      </c>
      <c r="D110" s="86"/>
      <c r="E110" s="55"/>
      <c r="F110" s="55"/>
      <c r="G110" s="55"/>
      <c r="H110" s="55"/>
      <c r="I110" s="55"/>
      <c r="J110" s="55"/>
      <c r="K110" s="55"/>
      <c r="L110" s="55"/>
    </row>
    <row r="111" ht="30.0" customHeight="1">
      <c r="A111" s="87">
        <v>2.0</v>
      </c>
      <c r="B111" s="68" t="s">
        <v>79</v>
      </c>
      <c r="C111" s="70" t="s">
        <v>66</v>
      </c>
      <c r="D111" s="72"/>
      <c r="E111" s="55"/>
      <c r="F111" s="55"/>
      <c r="G111" s="55"/>
      <c r="H111" s="55"/>
      <c r="I111" s="55"/>
      <c r="J111" s="55"/>
      <c r="K111" s="55"/>
      <c r="L111" s="55"/>
    </row>
    <row r="112" ht="32.25" customHeight="1">
      <c r="A112" s="83">
        <v>3.0</v>
      </c>
      <c r="B112" s="84" t="s">
        <v>80</v>
      </c>
      <c r="C112" s="85" t="s">
        <v>66</v>
      </c>
      <c r="D112" s="86"/>
      <c r="E112" s="55"/>
      <c r="F112" s="55"/>
      <c r="G112" s="55"/>
      <c r="H112" s="55"/>
      <c r="I112" s="55"/>
      <c r="J112" s="55"/>
      <c r="K112" s="55"/>
      <c r="L112" s="55"/>
    </row>
    <row r="113" ht="27.75" customHeight="1">
      <c r="A113" s="87">
        <v>4.0</v>
      </c>
      <c r="B113" s="68" t="s">
        <v>81</v>
      </c>
      <c r="C113" s="69"/>
      <c r="D113" s="70" t="s">
        <v>66</v>
      </c>
      <c r="E113" s="55"/>
      <c r="F113" s="55"/>
      <c r="G113" s="55"/>
      <c r="H113" s="55"/>
      <c r="I113" s="55"/>
      <c r="J113" s="55"/>
      <c r="K113" s="55"/>
      <c r="L113" s="55"/>
    </row>
    <row r="114" ht="23.25" customHeight="1">
      <c r="A114" s="83">
        <v>5.0</v>
      </c>
      <c r="B114" s="84" t="s">
        <v>82</v>
      </c>
      <c r="C114" s="85"/>
      <c r="D114" s="85" t="s">
        <v>66</v>
      </c>
      <c r="E114" s="55"/>
      <c r="F114" s="55"/>
      <c r="G114" s="55"/>
      <c r="H114" s="55"/>
      <c r="I114" s="55"/>
      <c r="J114" s="55"/>
      <c r="K114" s="55"/>
      <c r="L114" s="55"/>
    </row>
    <row r="115" ht="14.25" customHeight="1">
      <c r="A115" s="56" t="s">
        <v>75</v>
      </c>
      <c r="C115" s="88">
        <v>3.0</v>
      </c>
      <c r="D115" s="88">
        <v>2.0</v>
      </c>
      <c r="E115" s="55"/>
      <c r="F115" s="55"/>
      <c r="G115" s="55"/>
      <c r="H115" s="55"/>
      <c r="I115" s="55"/>
      <c r="J115" s="55"/>
      <c r="K115" s="55"/>
      <c r="L115" s="55"/>
    </row>
    <row r="116" ht="14.25" customHeight="1">
      <c r="A116" s="56" t="s">
        <v>76</v>
      </c>
      <c r="C116" s="76">
        <f t="shared" ref="C116:D116" si="8">C115/5</f>
        <v>0.6</v>
      </c>
      <c r="D116" s="76">
        <f t="shared" si="8"/>
        <v>0.4</v>
      </c>
      <c r="E116" s="55"/>
      <c r="F116" s="55"/>
      <c r="G116" s="55"/>
      <c r="H116" s="55"/>
      <c r="I116" s="55"/>
      <c r="J116" s="55"/>
      <c r="K116" s="55"/>
      <c r="L116" s="55"/>
    </row>
    <row r="117" ht="14.25" customHeight="1">
      <c r="A117" s="55"/>
      <c r="B117" s="55"/>
      <c r="C117" s="77"/>
      <c r="D117" s="55"/>
      <c r="E117" s="55"/>
      <c r="F117" s="55"/>
      <c r="G117" s="55"/>
      <c r="H117" s="55"/>
      <c r="I117" s="55"/>
      <c r="J117" s="55"/>
      <c r="K117" s="55"/>
      <c r="L117" s="55"/>
    </row>
    <row r="118" ht="27.0" customHeight="1">
      <c r="A118" s="59" t="s">
        <v>83</v>
      </c>
      <c r="E118" s="55"/>
      <c r="F118" s="55"/>
      <c r="G118" s="55"/>
      <c r="H118" s="55"/>
      <c r="I118" s="55"/>
      <c r="J118" s="55"/>
      <c r="K118" s="55"/>
      <c r="L118" s="55"/>
    </row>
    <row r="119" ht="14.25" customHeight="1">
      <c r="A119" s="89" t="s">
        <v>61</v>
      </c>
      <c r="B119" s="90" t="s">
        <v>62</v>
      </c>
      <c r="C119" s="91" t="s">
        <v>63</v>
      </c>
      <c r="D119" s="92" t="s">
        <v>64</v>
      </c>
      <c r="E119" s="55"/>
      <c r="F119" s="55"/>
      <c r="G119" s="55"/>
      <c r="H119" s="55"/>
      <c r="I119" s="55"/>
      <c r="J119" s="55"/>
      <c r="K119" s="55"/>
      <c r="L119" s="55"/>
    </row>
    <row r="120" ht="28.5" customHeight="1">
      <c r="A120" s="93">
        <v>1.0</v>
      </c>
      <c r="B120" s="94" t="s">
        <v>84</v>
      </c>
      <c r="C120" s="95" t="s">
        <v>66</v>
      </c>
      <c r="D120" s="96"/>
      <c r="E120" s="55"/>
      <c r="F120" s="55"/>
      <c r="G120" s="55"/>
      <c r="H120" s="55"/>
      <c r="I120" s="55"/>
      <c r="J120" s="55"/>
      <c r="K120" s="55"/>
      <c r="L120" s="55"/>
    </row>
    <row r="121" ht="31.5" customHeight="1">
      <c r="A121" s="67">
        <v>2.0</v>
      </c>
      <c r="B121" s="68" t="s">
        <v>85</v>
      </c>
      <c r="C121" s="70" t="s">
        <v>66</v>
      </c>
      <c r="D121" s="72"/>
      <c r="E121" s="55"/>
      <c r="F121" s="55"/>
      <c r="G121" s="55"/>
      <c r="H121" s="55"/>
      <c r="I121" s="55"/>
      <c r="J121" s="55"/>
      <c r="K121" s="55"/>
      <c r="L121" s="55"/>
    </row>
    <row r="122" ht="30.0" customHeight="1">
      <c r="A122" s="97">
        <v>3.0</v>
      </c>
      <c r="B122" s="94" t="s">
        <v>86</v>
      </c>
      <c r="C122" s="69"/>
      <c r="D122" s="95" t="s">
        <v>66</v>
      </c>
      <c r="E122" s="55"/>
      <c r="F122" s="55"/>
      <c r="G122" s="55"/>
      <c r="H122" s="55"/>
      <c r="I122" s="55"/>
      <c r="J122" s="55"/>
      <c r="K122" s="55"/>
      <c r="L122" s="55"/>
    </row>
    <row r="123" ht="14.25" customHeight="1">
      <c r="A123" s="56" t="s">
        <v>75</v>
      </c>
      <c r="C123" s="75">
        <f>COUNTA('MODELO LISTA DE COMPROBACION - '!$C$32:$C$34)</f>
        <v>3</v>
      </c>
      <c r="D123" s="75">
        <f>COUNTA('MODELO LISTA DE COMPROBACION - '!$D$32:$D$34)</f>
        <v>0</v>
      </c>
      <c r="E123" s="55"/>
      <c r="F123" s="55"/>
      <c r="G123" s="55"/>
      <c r="H123" s="55"/>
      <c r="I123" s="55"/>
      <c r="J123" s="55"/>
      <c r="K123" s="55"/>
      <c r="L123" s="55"/>
    </row>
    <row r="124" ht="14.25" customHeight="1">
      <c r="A124" s="56" t="s">
        <v>76</v>
      </c>
      <c r="C124" s="76">
        <f t="shared" ref="C124:D124" si="9">C123/3</f>
        <v>1</v>
      </c>
      <c r="D124" s="76">
        <f t="shared" si="9"/>
        <v>0</v>
      </c>
      <c r="E124" s="55"/>
      <c r="F124" s="55"/>
      <c r="G124" s="55"/>
      <c r="H124" s="55"/>
      <c r="I124" s="55"/>
      <c r="J124" s="55"/>
      <c r="K124" s="55"/>
      <c r="L124" s="55"/>
    </row>
    <row r="125" ht="14.25" customHeight="1">
      <c r="A125" s="55"/>
      <c r="B125" s="55"/>
      <c r="C125" s="55"/>
      <c r="D125" s="55"/>
      <c r="E125" s="55"/>
      <c r="F125" s="55"/>
      <c r="G125" s="55"/>
      <c r="H125" s="55"/>
      <c r="I125" s="55"/>
      <c r="J125" s="55"/>
      <c r="K125" s="55"/>
      <c r="L125" s="55"/>
    </row>
    <row r="126" ht="14.25" customHeight="1">
      <c r="A126" s="55"/>
      <c r="B126" s="55"/>
      <c r="C126" s="55"/>
      <c r="D126" s="55"/>
      <c r="E126" s="55"/>
      <c r="F126" s="55"/>
      <c r="G126" s="55"/>
      <c r="H126" s="55"/>
      <c r="I126" s="55"/>
      <c r="J126" s="55"/>
      <c r="K126" s="55"/>
      <c r="L126" s="55"/>
    </row>
    <row r="127" ht="14.25" customHeight="1">
      <c r="A127" s="55"/>
      <c r="B127" s="55"/>
      <c r="C127" s="55"/>
      <c r="D127" s="55"/>
      <c r="E127" s="55"/>
      <c r="F127" s="55"/>
      <c r="G127" s="55"/>
      <c r="H127" s="55"/>
      <c r="I127" s="55"/>
      <c r="J127" s="55"/>
      <c r="K127" s="55"/>
      <c r="L127" s="55"/>
    </row>
    <row r="128" ht="14.25" customHeight="1">
      <c r="A128" s="98" t="s">
        <v>87</v>
      </c>
      <c r="D128" s="55"/>
      <c r="E128" s="55"/>
      <c r="F128" s="55"/>
      <c r="G128" s="55"/>
      <c r="H128" s="55"/>
      <c r="I128" s="55"/>
      <c r="J128" s="55"/>
      <c r="K128" s="55"/>
      <c r="L128" s="55"/>
    </row>
    <row r="129" ht="14.25" customHeight="1">
      <c r="A129" s="55"/>
      <c r="B129" s="99" t="s">
        <v>88</v>
      </c>
      <c r="C129" s="75">
        <v>67.0</v>
      </c>
      <c r="D129" s="55"/>
      <c r="E129" s="55"/>
      <c r="F129" s="55"/>
      <c r="G129" s="55"/>
      <c r="H129" s="55"/>
      <c r="I129" s="55"/>
      <c r="J129" s="55"/>
      <c r="K129" s="55"/>
      <c r="L129" s="55"/>
    </row>
    <row r="130" ht="14.25" customHeight="1">
      <c r="A130" s="55"/>
      <c r="B130" s="99" t="s">
        <v>77</v>
      </c>
      <c r="C130" s="88">
        <v>60.0</v>
      </c>
      <c r="D130" s="55"/>
      <c r="E130" s="55"/>
      <c r="F130" s="55"/>
      <c r="G130" s="55"/>
      <c r="H130" s="55"/>
      <c r="I130" s="55"/>
      <c r="J130" s="55"/>
      <c r="K130" s="55"/>
      <c r="L130" s="55"/>
    </row>
    <row r="131" ht="14.25" customHeight="1">
      <c r="A131" s="55"/>
      <c r="B131" s="99" t="s">
        <v>83</v>
      </c>
      <c r="C131" s="75">
        <v>100.0</v>
      </c>
      <c r="D131" s="55"/>
      <c r="E131" s="55"/>
      <c r="F131" s="55"/>
      <c r="G131" s="55"/>
      <c r="H131" s="55"/>
      <c r="I131" s="55"/>
      <c r="J131" s="55"/>
      <c r="K131" s="55"/>
      <c r="L131" s="55"/>
    </row>
    <row r="132" ht="14.25" customHeight="1">
      <c r="A132" s="55"/>
      <c r="B132" s="55"/>
      <c r="C132" s="55"/>
      <c r="D132" s="55"/>
      <c r="E132" s="55"/>
      <c r="F132" s="55"/>
      <c r="G132" s="55"/>
      <c r="H132" s="55"/>
      <c r="I132" s="55"/>
      <c r="J132" s="55"/>
      <c r="K132" s="55"/>
      <c r="L132" s="55"/>
    </row>
    <row r="133" ht="14.25" customHeight="1">
      <c r="A133" s="55"/>
      <c r="B133" s="55"/>
      <c r="C133" s="55"/>
      <c r="D133" s="55"/>
      <c r="E133" s="55"/>
      <c r="F133" s="55"/>
      <c r="G133" s="55"/>
      <c r="H133" s="55"/>
      <c r="I133" s="55"/>
      <c r="J133" s="55"/>
      <c r="K133" s="55"/>
      <c r="L133" s="55"/>
    </row>
    <row r="134" ht="14.25" customHeight="1">
      <c r="A134" s="55"/>
      <c r="B134" s="55"/>
      <c r="C134" s="55"/>
      <c r="D134" s="55"/>
      <c r="E134" s="55"/>
      <c r="F134" s="55"/>
      <c r="G134" s="55"/>
      <c r="H134" s="55"/>
      <c r="I134" s="55"/>
      <c r="J134" s="55"/>
      <c r="K134" s="55"/>
      <c r="L134" s="55"/>
    </row>
    <row r="135" ht="14.25" customHeight="1">
      <c r="A135" s="55"/>
      <c r="B135" s="55"/>
      <c r="C135" s="55"/>
      <c r="D135" s="55"/>
      <c r="E135" s="55"/>
      <c r="F135" s="55"/>
      <c r="G135" s="55"/>
      <c r="H135" s="55"/>
      <c r="I135" s="55"/>
      <c r="J135" s="55"/>
      <c r="K135" s="55"/>
      <c r="L135" s="55"/>
    </row>
    <row r="136" ht="14.25" customHeight="1">
      <c r="A136" s="55"/>
      <c r="B136" s="55"/>
      <c r="C136" s="55"/>
      <c r="D136" s="55"/>
      <c r="E136" s="55"/>
      <c r="F136" s="55"/>
      <c r="G136" s="55"/>
      <c r="H136" s="55"/>
      <c r="I136" s="55"/>
      <c r="J136" s="55"/>
      <c r="K136" s="55"/>
      <c r="L136" s="55"/>
    </row>
    <row r="137" ht="14.25" customHeight="1">
      <c r="A137" s="55"/>
      <c r="B137" s="55"/>
      <c r="C137" s="55"/>
      <c r="D137" s="55"/>
      <c r="E137" s="55"/>
      <c r="F137" s="55"/>
      <c r="G137" s="55"/>
      <c r="H137" s="55"/>
      <c r="I137" s="55"/>
      <c r="J137" s="55"/>
      <c r="K137" s="55"/>
      <c r="L137" s="55"/>
    </row>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sheetData>
  <mergeCells count="38">
    <mergeCell ref="C1:D1"/>
    <mergeCell ref="C2:D2"/>
    <mergeCell ref="C3:D3"/>
    <mergeCell ref="C4:D4"/>
    <mergeCell ref="A6:D6"/>
    <mergeCell ref="A17:B17"/>
    <mergeCell ref="A20:D20"/>
    <mergeCell ref="A94:D94"/>
    <mergeCell ref="C92:D92"/>
    <mergeCell ref="C91:D91"/>
    <mergeCell ref="A115:B115"/>
    <mergeCell ref="A116:B116"/>
    <mergeCell ref="A108:D108"/>
    <mergeCell ref="A106:B106"/>
    <mergeCell ref="A105:B105"/>
    <mergeCell ref="A128:C128"/>
    <mergeCell ref="A124:B124"/>
    <mergeCell ref="A123:B123"/>
    <mergeCell ref="A118:D118"/>
    <mergeCell ref="A18:B18"/>
    <mergeCell ref="A27:B27"/>
    <mergeCell ref="A28:B28"/>
    <mergeCell ref="A30:D30"/>
    <mergeCell ref="A35:B35"/>
    <mergeCell ref="A36:B36"/>
    <mergeCell ref="A40:C40"/>
    <mergeCell ref="A72:B72"/>
    <mergeCell ref="A74:D74"/>
    <mergeCell ref="A79:B79"/>
    <mergeCell ref="A80:B80"/>
    <mergeCell ref="A84:C84"/>
    <mergeCell ref="C47:D47"/>
    <mergeCell ref="C48:D48"/>
    <mergeCell ref="A50:D50"/>
    <mergeCell ref="A61:B61"/>
    <mergeCell ref="A64:D64"/>
    <mergeCell ref="A62:B62"/>
    <mergeCell ref="A71:B71"/>
  </mergeCells>
  <conditionalFormatting sqref="A32:D34 A76:D78">
    <cfRule type="containsText" dxfId="8" priority="1" operator="containsText" text="X">
      <formula>NOT(ISERROR(SEARCH(("X"),(A32))))</formula>
    </cfRule>
  </conditionalFormatting>
  <conditionalFormatting sqref="C8:D16 C22:C26 C32:D34 C52:D60 C66:C70 C76:D78">
    <cfRule type="containsText" dxfId="9" priority="2" operator="containsText" text="X">
      <formula>NOT(ISERROR(SEARCH(("X"),(C8))))</formula>
    </cfRule>
  </conditionalFormatting>
  <conditionalFormatting sqref="C8:D16 C22:C26 C32:D34 C52:D60 C66:C70 C76:D78">
    <cfRule type="containsText" dxfId="10" priority="3" operator="containsText" text="X">
      <formula>NOT(ISERROR(SEARCH(("X"),(C8))))</formula>
    </cfRule>
  </conditionalFormatting>
  <conditionalFormatting sqref="C8:D16 C22:C26 C32:D34 C52:D60 C66:C70 C76:D78">
    <cfRule type="containsText" dxfId="11" priority="4" operator="containsText" text="X">
      <formula>NOT(ISERROR(SEARCH(("X"),(C8))))</formula>
    </cfRule>
  </conditionalFormatting>
  <conditionalFormatting sqref="C8:D16 C22:C26 C32:D34 C52:D60 C66:C70 C76:D78">
    <cfRule type="containsText" dxfId="12" priority="5" operator="containsText" text="X">
      <formula>NOT(ISERROR(SEARCH(("X"),(C8))))</formula>
    </cfRule>
  </conditionalFormatting>
  <conditionalFormatting sqref="C22:D26 C66:D70">
    <cfRule type="containsText" dxfId="9" priority="6" operator="containsText" text="X">
      <formula>NOT(ISERROR(SEARCH(("X"),(C22))))</formula>
    </cfRule>
  </conditionalFormatting>
  <conditionalFormatting sqref="C22:D26 C66:D70">
    <cfRule type="containsText" dxfId="10" priority="7" operator="containsText" text="X">
      <formula>NOT(ISERROR(SEARCH(("X"),(C22))))</formula>
    </cfRule>
  </conditionalFormatting>
  <conditionalFormatting sqref="C32:D34 C76:D78">
    <cfRule type="containsText" dxfId="9" priority="8" operator="containsText" text="X">
      <formula>NOT(ISERROR(SEARCH(("X"),(C32))))</formula>
    </cfRule>
  </conditionalFormatting>
  <printOptions/>
  <pageMargins bottom="0.75" footer="0.0" header="0.0" left="0.7" right="0.7" top="0.75"/>
  <pageSetup paperSize="9" orientation="portrait"/>
  <drawing r:id="rId1"/>
  <tableParts count="9">
    <tablePart r:id="rId11"/>
    <tablePart r:id="rId12"/>
    <tablePart r:id="rId13"/>
    <tablePart r:id="rId14"/>
    <tablePart r:id="rId15"/>
    <tablePart r:id="rId16"/>
    <tablePart r:id="rId17"/>
    <tablePart r:id="rId18"/>
    <tablePart r:id="rId1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4"/>
    <col customWidth="1" min="2" max="2" width="211.29"/>
    <col customWidth="1" min="3" max="6" width="10.71"/>
  </cols>
  <sheetData>
    <row r="1" ht="14.25" customHeight="1">
      <c r="A1" s="100" t="s">
        <v>93</v>
      </c>
      <c r="B1" s="100" t="s">
        <v>94</v>
      </c>
    </row>
    <row r="2" ht="14.25" customHeight="1">
      <c r="A2" s="101" t="s">
        <v>95</v>
      </c>
      <c r="B2" s="101" t="s">
        <v>96</v>
      </c>
    </row>
    <row r="3" ht="14.25" customHeight="1">
      <c r="A3" s="102" t="s">
        <v>97</v>
      </c>
      <c r="B3" s="101" t="s">
        <v>98</v>
      </c>
    </row>
    <row r="4" ht="14.25" customHeight="1">
      <c r="A4" s="103" t="s">
        <v>99</v>
      </c>
      <c r="B4" s="103" t="s">
        <v>100</v>
      </c>
    </row>
    <row r="5" ht="14.25" customHeight="1">
      <c r="A5" s="103" t="s">
        <v>101</v>
      </c>
      <c r="B5" s="103" t="s">
        <v>102</v>
      </c>
    </row>
    <row r="6" ht="14.25" customHeight="1">
      <c r="A6" s="103" t="s">
        <v>103</v>
      </c>
      <c r="B6" s="103" t="s">
        <v>104</v>
      </c>
    </row>
    <row r="7" ht="14.25" customHeight="1">
      <c r="A7" s="103" t="s">
        <v>105</v>
      </c>
      <c r="B7" s="103" t="s">
        <v>106</v>
      </c>
    </row>
    <row r="8" ht="14.25" customHeight="1"/>
    <row r="9" ht="14.25" customHeight="1"/>
    <row r="10" ht="14.25" customHeight="1">
      <c r="A10" s="104" t="s">
        <v>107</v>
      </c>
    </row>
    <row r="11" ht="14.25" customHeight="1">
      <c r="A11" s="100" t="s">
        <v>93</v>
      </c>
      <c r="B11" s="100" t="s">
        <v>94</v>
      </c>
    </row>
    <row r="12" ht="14.25" customHeight="1">
      <c r="A12" s="101" t="s">
        <v>108</v>
      </c>
      <c r="B12" s="105" t="s">
        <v>109</v>
      </c>
    </row>
    <row r="13" ht="14.25" customHeight="1">
      <c r="A13" s="103" t="s">
        <v>110</v>
      </c>
      <c r="B13" s="103" t="s">
        <v>111</v>
      </c>
    </row>
    <row r="14" ht="14.25" customHeight="1">
      <c r="A14" s="103" t="s">
        <v>112</v>
      </c>
      <c r="B14" s="103" t="s">
        <v>113</v>
      </c>
    </row>
    <row r="15" ht="14.25" customHeight="1">
      <c r="A15" s="103" t="s">
        <v>114</v>
      </c>
      <c r="B15" s="103" t="s">
        <v>115</v>
      </c>
    </row>
    <row r="16" ht="14.25" customHeight="1">
      <c r="A16" s="104"/>
      <c r="B16" s="104"/>
    </row>
    <row r="17" ht="14.25" customHeight="1">
      <c r="A17" s="104"/>
      <c r="B17" s="104"/>
    </row>
    <row r="18" ht="14.25" customHeight="1"/>
    <row r="19" ht="14.25" customHeight="1">
      <c r="A19" s="104" t="s">
        <v>92</v>
      </c>
    </row>
    <row r="20" ht="14.25" customHeight="1">
      <c r="A20" s="100" t="s">
        <v>93</v>
      </c>
      <c r="B20" s="100" t="s">
        <v>94</v>
      </c>
    </row>
    <row r="21" ht="14.25" customHeight="1">
      <c r="A21" s="103" t="s">
        <v>116</v>
      </c>
      <c r="B21" s="103" t="s">
        <v>117</v>
      </c>
    </row>
    <row r="22" ht="14.25" customHeight="1">
      <c r="A22" s="103" t="s">
        <v>118</v>
      </c>
      <c r="B22" s="105" t="s">
        <v>119</v>
      </c>
    </row>
    <row r="23" ht="14.25" customHeight="1">
      <c r="A23" s="103" t="s">
        <v>120</v>
      </c>
      <c r="B23" s="103" t="s">
        <v>121</v>
      </c>
    </row>
    <row r="24" ht="14.25" customHeight="1">
      <c r="A24" s="103" t="s">
        <v>122</v>
      </c>
      <c r="B24" s="103" t="s">
        <v>123</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rintOptions/>
  <pageMargins bottom="0.75" footer="0.0" header="0.0" left="0.7" right="0.7" top="0.75"/>
  <pageSetup orientation="landscape"/>
  <drawing r:id="rId1"/>
</worksheet>
</file>